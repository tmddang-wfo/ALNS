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A99B2111-014E-4AEF-A54E-34C5F21199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edule" sheetId="6" r:id="rId1"/>
    <sheet name="parameters" sheetId="5" r:id="rId2"/>
    <sheet name="week_1" sheetId="1" r:id="rId3"/>
    <sheet name="week_2" sheetId="2" r:id="rId4"/>
    <sheet name="week_3" sheetId="3" r:id="rId5"/>
    <sheet name="week_4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6" l="1"/>
  <c r="M27" i="6"/>
  <c r="H33" i="6" a="1"/>
  <c r="H33" i="6" s="1"/>
  <c r="I33" i="6" a="1"/>
  <c r="I33" i="6"/>
  <c r="J33" i="6" a="1"/>
  <c r="J33" i="6"/>
  <c r="K33" i="6" a="1"/>
  <c r="K33" i="6"/>
  <c r="L33" i="6" a="1"/>
  <c r="L33" i="6"/>
  <c r="M33" i="6" a="1"/>
  <c r="M33" i="6"/>
  <c r="N33" i="6" a="1"/>
  <c r="N33" i="6"/>
  <c r="O33" i="6" a="1"/>
  <c r="O33" i="6" s="1"/>
  <c r="P33" i="6" a="1"/>
  <c r="P33" i="6" s="1"/>
  <c r="Q33" i="6" a="1"/>
  <c r="Q33" i="6"/>
  <c r="R33" i="6" a="1"/>
  <c r="R33" i="6"/>
  <c r="S33" i="6" a="1"/>
  <c r="S33" i="6"/>
  <c r="T33" i="6" a="1"/>
  <c r="T33" i="6"/>
  <c r="U33" i="6" a="1"/>
  <c r="U33" i="6"/>
  <c r="V33" i="6" a="1"/>
  <c r="V33" i="6" s="1"/>
  <c r="W33" i="6" a="1"/>
  <c r="W33" i="6" s="1"/>
  <c r="X33" i="6" a="1"/>
  <c r="X33" i="6"/>
  <c r="Y33" i="6" a="1"/>
  <c r="Y33" i="6"/>
  <c r="Z33" i="6" a="1"/>
  <c r="Z33" i="6"/>
  <c r="AA33" i="6" a="1"/>
  <c r="AA33" i="6"/>
  <c r="AB33" i="6" a="1"/>
  <c r="AB33" i="6"/>
  <c r="AC33" i="6" a="1"/>
  <c r="AC33" i="6" s="1"/>
  <c r="H34" i="6" a="1"/>
  <c r="H34" i="6" s="1"/>
  <c r="I34" i="6" a="1"/>
  <c r="I34" i="6" s="1"/>
  <c r="J34" i="6" a="1"/>
  <c r="J34" i="6"/>
  <c r="K34" i="6" a="1"/>
  <c r="K34" i="6"/>
  <c r="L34" i="6" a="1"/>
  <c r="L34" i="6"/>
  <c r="M34" i="6" a="1"/>
  <c r="M34" i="6" s="1"/>
  <c r="N34" i="6" a="1"/>
  <c r="N34" i="6" s="1"/>
  <c r="O34" i="6" a="1"/>
  <c r="O34" i="6"/>
  <c r="P34" i="6" a="1"/>
  <c r="P34" i="6" s="1"/>
  <c r="Q34" i="6" a="1"/>
  <c r="Q34" i="6"/>
  <c r="R34" i="6" a="1"/>
  <c r="R34" i="6" s="1"/>
  <c r="S34" i="6" a="1"/>
  <c r="S34" i="6"/>
  <c r="T34" i="6" a="1"/>
  <c r="T34" i="6" s="1"/>
  <c r="U34" i="6" a="1"/>
  <c r="U34" i="6" s="1"/>
  <c r="V34" i="6" a="1"/>
  <c r="V34" i="6"/>
  <c r="W34" i="6" a="1"/>
  <c r="W34" i="6"/>
  <c r="X34" i="6" a="1"/>
  <c r="X34" i="6" s="1"/>
  <c r="Y34" i="6" a="1"/>
  <c r="Y34" i="6"/>
  <c r="Z34" i="6" a="1"/>
  <c r="Z34" i="6" s="1"/>
  <c r="AA34" i="6" a="1"/>
  <c r="AA34" i="6" s="1"/>
  <c r="AB34" i="6" a="1"/>
  <c r="AB34" i="6" s="1"/>
  <c r="AC34" i="6" a="1"/>
  <c r="AC34" i="6"/>
  <c r="H35" i="6" a="1"/>
  <c r="H35" i="6"/>
  <c r="I35" i="6" a="1"/>
  <c r="I35" i="6"/>
  <c r="J35" i="6" a="1"/>
  <c r="J35" i="6" s="1"/>
  <c r="K35" i="6" a="1"/>
  <c r="K35" i="6"/>
  <c r="L35" i="6" a="1"/>
  <c r="L35" i="6" s="1"/>
  <c r="M35" i="6" a="1"/>
  <c r="M35" i="6" s="1"/>
  <c r="N35" i="6" a="1"/>
  <c r="N35" i="6" s="1"/>
  <c r="O35" i="6" a="1"/>
  <c r="O35" i="6"/>
  <c r="P35" i="6" a="1"/>
  <c r="P35" i="6"/>
  <c r="Q35" i="6" a="1"/>
  <c r="Q35" i="6"/>
  <c r="R35" i="6" a="1"/>
  <c r="R35" i="6" s="1"/>
  <c r="S35" i="6" a="1"/>
  <c r="S35" i="6" s="1"/>
  <c r="T35" i="6" a="1"/>
  <c r="T35" i="6" s="1"/>
  <c r="U35" i="6" a="1"/>
  <c r="U35" i="6"/>
  <c r="V35" i="6" a="1"/>
  <c r="V35" i="6" s="1"/>
  <c r="W35" i="6" a="1"/>
  <c r="W35" i="6"/>
  <c r="X35" i="6" a="1"/>
  <c r="X35" i="6"/>
  <c r="Y35" i="6" a="1"/>
  <c r="Y35" i="6"/>
  <c r="Z35" i="6" a="1"/>
  <c r="Z35" i="6" s="1"/>
  <c r="AA35" i="6" a="1"/>
  <c r="AA35" i="6" s="1"/>
  <c r="AB35" i="6" a="1"/>
  <c r="AB35" i="6"/>
  <c r="AC35" i="6" a="1"/>
  <c r="AC35" i="6"/>
  <c r="H36" i="6" a="1"/>
  <c r="H36" i="6" s="1"/>
  <c r="I36" i="6" a="1"/>
  <c r="I36" i="6"/>
  <c r="J36" i="6" a="1"/>
  <c r="J36" i="6"/>
  <c r="K36" i="6" a="1"/>
  <c r="K36" i="6" s="1"/>
  <c r="L36" i="6" a="1"/>
  <c r="L36" i="6" s="1"/>
  <c r="M36" i="6" a="1"/>
  <c r="M36" i="6" s="1"/>
  <c r="N36" i="6" a="1"/>
  <c r="N36" i="6"/>
  <c r="O36" i="6" a="1"/>
  <c r="O36" i="6"/>
  <c r="P36" i="6" a="1"/>
  <c r="P36" i="6"/>
  <c r="Q36" i="6" a="1"/>
  <c r="Q36" i="6" s="1"/>
  <c r="R36" i="6" a="1"/>
  <c r="R36" i="6" s="1"/>
  <c r="S36" i="6" a="1"/>
  <c r="S36" i="6" s="1"/>
  <c r="T36" i="6" a="1"/>
  <c r="T36" i="6"/>
  <c r="U36" i="6" a="1"/>
  <c r="U36" i="6" s="1"/>
  <c r="V36" i="6" a="1"/>
  <c r="V36" i="6"/>
  <c r="W36" i="6" a="1"/>
  <c r="W36" i="6"/>
  <c r="X36" i="6" a="1"/>
  <c r="X36" i="6"/>
  <c r="Y36" i="6" a="1"/>
  <c r="Y36" i="6" s="1"/>
  <c r="Z36" i="6" a="1"/>
  <c r="Z36" i="6" s="1"/>
  <c r="AA36" i="6" a="1"/>
  <c r="AA36" i="6"/>
  <c r="AB36" i="6" a="1"/>
  <c r="AB36" i="6"/>
  <c r="AC36" i="6" a="1"/>
  <c r="AC36" i="6" s="1"/>
  <c r="H37" i="6" a="1"/>
  <c r="H37" i="6"/>
  <c r="I37" i="6" a="1"/>
  <c r="I37" i="6"/>
  <c r="J37" i="6" a="1"/>
  <c r="J37" i="6" s="1"/>
  <c r="K37" i="6" a="1"/>
  <c r="K37" i="6" s="1"/>
  <c r="L37" i="6" a="1"/>
  <c r="L37" i="6"/>
  <c r="M37" i="6" a="1"/>
  <c r="M37" i="6" s="1"/>
  <c r="N37" i="6" a="1"/>
  <c r="N37" i="6"/>
  <c r="O37" i="6" a="1"/>
  <c r="O37" i="6" s="1"/>
  <c r="P37" i="6" a="1"/>
  <c r="P37" i="6"/>
  <c r="Q37" i="6" a="1"/>
  <c r="Q37" i="6" s="1"/>
  <c r="R37" i="6" a="1"/>
  <c r="R37" i="6" s="1"/>
  <c r="S37" i="6" a="1"/>
  <c r="S37" i="6"/>
  <c r="T37" i="6" a="1"/>
  <c r="T37" i="6"/>
  <c r="U37" i="6" a="1"/>
  <c r="U37" i="6" s="1"/>
  <c r="V37" i="6" a="1"/>
  <c r="V37" i="6"/>
  <c r="W37" i="6" a="1"/>
  <c r="W37" i="6" s="1"/>
  <c r="X37" i="6" a="1"/>
  <c r="X37" i="6" s="1"/>
  <c r="Y37" i="6" a="1"/>
  <c r="Y37" i="6" s="1"/>
  <c r="Z37" i="6" a="1"/>
  <c r="Z37" i="6"/>
  <c r="AA37" i="6" a="1"/>
  <c r="AA37" i="6"/>
  <c r="AB37" i="6" a="1"/>
  <c r="AB37" i="6"/>
  <c r="AC37" i="6" a="1"/>
  <c r="AC37" i="6"/>
  <c r="H38" i="6" a="1"/>
  <c r="H38" i="6" s="1"/>
  <c r="I38" i="6" a="1"/>
  <c r="I38" i="6" s="1"/>
  <c r="J38" i="6" a="1"/>
  <c r="J38" i="6" s="1"/>
  <c r="K38" i="6" a="1"/>
  <c r="K38" i="6"/>
  <c r="L38" i="6" a="1"/>
  <c r="L38" i="6"/>
  <c r="M38" i="6" a="1"/>
  <c r="M38" i="6"/>
  <c r="N38" i="6" a="1"/>
  <c r="N38" i="6"/>
  <c r="O38" i="6" a="1"/>
  <c r="O38" i="6"/>
  <c r="P38" i="6" a="1"/>
  <c r="P38" i="6" s="1"/>
  <c r="Q38" i="6" a="1"/>
  <c r="Q38" i="6" s="1"/>
  <c r="R38" i="6" a="1"/>
  <c r="R38" i="6" s="1"/>
  <c r="S38" i="6" a="1"/>
  <c r="S38" i="6"/>
  <c r="T38" i="6" a="1"/>
  <c r="T38" i="6"/>
  <c r="U38" i="6" a="1"/>
  <c r="U38" i="6"/>
  <c r="V38" i="6" a="1"/>
  <c r="V38" i="6"/>
  <c r="W38" i="6" a="1"/>
  <c r="W38" i="6" s="1"/>
  <c r="X38" i="6" a="1"/>
  <c r="X38" i="6" s="1"/>
  <c r="Y38" i="6" a="1"/>
  <c r="Y38" i="6" s="1"/>
  <c r="Z38" i="6" a="1"/>
  <c r="Z38" i="6" s="1"/>
  <c r="AA38" i="6" a="1"/>
  <c r="AA38" i="6"/>
  <c r="AB38" i="6" a="1"/>
  <c r="AB38" i="6"/>
  <c r="AC38" i="6" a="1"/>
  <c r="AC38" i="6"/>
  <c r="F34" i="6" a="1"/>
  <c r="F34" i="6"/>
  <c r="F32" i="6" s="1"/>
  <c r="G38" i="6" a="1"/>
  <c r="G38" i="6" s="1"/>
  <c r="G37" i="6" a="1"/>
  <c r="G37" i="6" s="1"/>
  <c r="G36" i="6" a="1"/>
  <c r="G36" i="6" s="1"/>
  <c r="G35" i="6" a="1"/>
  <c r="G35" i="6" s="1"/>
  <c r="G34" i="6" a="1"/>
  <c r="G34" i="6" s="1"/>
  <c r="G33" i="6" a="1"/>
  <c r="G33" i="6" s="1"/>
  <c r="F38" i="6" a="1"/>
  <c r="F38" i="6" s="1"/>
  <c r="F37" i="6" a="1"/>
  <c r="F37" i="6" s="1"/>
  <c r="F36" i="6" a="1"/>
  <c r="F36" i="6" s="1"/>
  <c r="F35" i="6" a="1"/>
  <c r="F35" i="6" s="1"/>
  <c r="F33" i="6" a="1"/>
  <c r="F33" i="6" s="1"/>
  <c r="F31" i="6" s="1"/>
  <c r="E38" i="6" a="1"/>
  <c r="E38" i="6" s="1"/>
  <c r="E37" i="6" a="1"/>
  <c r="E37" i="6" s="1"/>
  <c r="E36" i="6" a="1"/>
  <c r="E36" i="6" s="1"/>
  <c r="E35" i="6" a="1"/>
  <c r="E35" i="6" s="1"/>
  <c r="E34" i="6" a="1"/>
  <c r="E34" i="6" s="1"/>
  <c r="E33" i="6" a="1"/>
  <c r="E33" i="6" s="1"/>
  <c r="E31" i="6" s="1"/>
  <c r="D38" i="6" a="1"/>
  <c r="D38" i="6" s="1"/>
  <c r="D37" i="6" a="1"/>
  <c r="D37" i="6" s="1"/>
  <c r="D36" i="6" a="1"/>
  <c r="D36" i="6" s="1"/>
  <c r="D35" i="6" a="1"/>
  <c r="D35" i="6" s="1"/>
  <c r="D34" i="6" a="1"/>
  <c r="D34" i="6" s="1"/>
  <c r="D33" i="6" a="1"/>
  <c r="D33" i="6" s="1"/>
  <c r="D31" i="6" s="1"/>
  <c r="C38" i="6" a="1"/>
  <c r="C38" i="6" s="1"/>
  <c r="C37" i="6" a="1"/>
  <c r="C37" i="6" s="1"/>
  <c r="C36" i="6" a="1"/>
  <c r="C36" i="6" s="1"/>
  <c r="C35" i="6" a="1"/>
  <c r="C35" i="6" s="1"/>
  <c r="C34" i="6" a="1"/>
  <c r="C34" i="6" s="1"/>
  <c r="C32" i="6" s="1"/>
  <c r="C33" i="6" a="1"/>
  <c r="C33" i="6" s="1"/>
  <c r="C31" i="6" s="1"/>
  <c r="B33" i="6" a="1"/>
  <c r="B33" i="6" s="1"/>
  <c r="B31" i="6" s="1"/>
  <c r="B38" i="6" a="1"/>
  <c r="B38" i="6" s="1"/>
  <c r="B32" i="6" s="1"/>
  <c r="B37" i="6" a="1"/>
  <c r="B37" i="6"/>
  <c r="B36" i="6" a="1"/>
  <c r="B36" i="6" s="1"/>
  <c r="B35" i="6" a="1"/>
  <c r="B35" i="6" s="1"/>
  <c r="B34" i="6" a="1"/>
  <c r="B34" i="6" s="1"/>
  <c r="W5" i="6" a="1"/>
  <c r="W5" i="6" s="1"/>
  <c r="W19" i="6" s="1"/>
  <c r="P5" i="6" a="1"/>
  <c r="P5" i="6" s="1"/>
  <c r="P19" i="6" s="1"/>
  <c r="I5" i="6" a="1"/>
  <c r="I5" i="6" s="1"/>
  <c r="I19" i="6" s="1"/>
  <c r="B5" i="6" a="1"/>
  <c r="B5" i="6" s="1"/>
  <c r="B19" i="6" s="1"/>
  <c r="V31" i="6" l="1"/>
  <c r="AC31" i="6"/>
  <c r="U31" i="6"/>
  <c r="O32" i="6"/>
  <c r="N32" i="6"/>
  <c r="V32" i="6"/>
  <c r="D32" i="6"/>
  <c r="H32" i="6"/>
  <c r="N31" i="6"/>
  <c r="P32" i="6"/>
  <c r="AB31" i="6"/>
  <c r="K31" i="6"/>
  <c r="K32" i="6"/>
  <c r="G32" i="6"/>
  <c r="E32" i="6"/>
  <c r="M32" i="6"/>
  <c r="AC32" i="6"/>
  <c r="U32" i="6"/>
  <c r="Y32" i="6"/>
  <c r="T32" i="6"/>
  <c r="AB32" i="6"/>
  <c r="AA32" i="6"/>
  <c r="Y31" i="6"/>
  <c r="W32" i="6"/>
  <c r="Z32" i="6"/>
  <c r="R32" i="6"/>
  <c r="X31" i="6"/>
  <c r="I31" i="6"/>
  <c r="Q32" i="6"/>
  <c r="P31" i="6"/>
  <c r="S31" i="6"/>
  <c r="W31" i="6"/>
  <c r="H31" i="6"/>
  <c r="G31" i="6"/>
  <c r="O31" i="6"/>
  <c r="J31" i="6"/>
  <c r="R31" i="6"/>
  <c r="Q31" i="6"/>
  <c r="M31" i="6"/>
  <c r="J32" i="6"/>
  <c r="T31" i="6"/>
  <c r="AA31" i="6"/>
  <c r="L31" i="6"/>
  <c r="I32" i="6"/>
  <c r="L32" i="6"/>
  <c r="Z31" i="6"/>
  <c r="X32" i="6"/>
  <c r="S32" i="6"/>
  <c r="X27" i="6"/>
  <c r="L26" i="6"/>
  <c r="AB24" i="6"/>
  <c r="T23" i="6"/>
  <c r="H22" i="6"/>
  <c r="W20" i="6"/>
  <c r="W27" i="6"/>
  <c r="U25" i="6"/>
  <c r="G22" i="6"/>
  <c r="M19" i="6"/>
  <c r="T25" i="6"/>
  <c r="F22" i="6"/>
  <c r="L19" i="6"/>
  <c r="O25" i="6"/>
  <c r="AC21" i="6"/>
  <c r="K19" i="6"/>
  <c r="F24" i="6"/>
  <c r="O20" i="6"/>
  <c r="G26" i="6"/>
  <c r="K23" i="6"/>
  <c r="V24" i="6"/>
  <c r="M20" i="6"/>
  <c r="AA23" i="6"/>
  <c r="Y21" i="6"/>
  <c r="V26" i="6"/>
  <c r="Z23" i="6"/>
  <c r="H23" i="6"/>
  <c r="N22" i="6"/>
  <c r="X21" i="6"/>
  <c r="AC20" i="6"/>
  <c r="K20" i="6"/>
  <c r="H24" i="6"/>
  <c r="U20" i="6"/>
  <c r="Y24" i="6"/>
  <c r="T20" i="6"/>
  <c r="Z26" i="6"/>
  <c r="L23" i="6"/>
  <c r="AB19" i="6"/>
  <c r="M25" i="6"/>
  <c r="U22" i="6"/>
  <c r="N27" i="6"/>
  <c r="AB23" i="6"/>
  <c r="H21" i="6"/>
  <c r="AC25" i="6"/>
  <c r="L20" i="6"/>
  <c r="T24" i="6"/>
  <c r="X19" i="6"/>
  <c r="AC27" i="6"/>
  <c r="K27" i="6"/>
  <c r="U26" i="6"/>
  <c r="AA25" i="6"/>
  <c r="I25" i="6"/>
  <c r="O24" i="6"/>
  <c r="Y23" i="6"/>
  <c r="G23" i="6"/>
  <c r="M22" i="6"/>
  <c r="W21" i="6"/>
  <c r="AB20" i="6"/>
  <c r="J20" i="6"/>
  <c r="Y27" i="6"/>
  <c r="G27" i="6"/>
  <c r="W25" i="6"/>
  <c r="AC24" i="6"/>
  <c r="K24" i="6"/>
  <c r="U23" i="6"/>
  <c r="AA22" i="6"/>
  <c r="I22" i="6"/>
  <c r="O21" i="6"/>
  <c r="X20" i="6"/>
  <c r="O19" i="6"/>
  <c r="F27" i="6"/>
  <c r="V25" i="6"/>
  <c r="J24" i="6"/>
  <c r="Z22" i="6"/>
  <c r="N21" i="6"/>
  <c r="N19" i="6"/>
  <c r="K26" i="6"/>
  <c r="O23" i="6"/>
  <c r="V20" i="6"/>
  <c r="J26" i="6"/>
  <c r="N23" i="6"/>
  <c r="I26" i="6"/>
  <c r="W22" i="6"/>
  <c r="AC19" i="6"/>
  <c r="N25" i="6"/>
  <c r="J21" i="6"/>
  <c r="O27" i="6"/>
  <c r="AC23" i="6"/>
  <c r="N20" i="6"/>
  <c r="F26" i="6"/>
  <c r="J23" i="6"/>
  <c r="Z19" i="6"/>
  <c r="K25" i="6"/>
  <c r="G21" i="6"/>
  <c r="Y19" i="6"/>
  <c r="AB27" i="6"/>
  <c r="J27" i="6"/>
  <c r="T26" i="6"/>
  <c r="Z25" i="6"/>
  <c r="H25" i="6"/>
  <c r="N24" i="6"/>
  <c r="X23" i="6"/>
  <c r="F23" i="6"/>
  <c r="L22" i="6"/>
  <c r="V21" i="6"/>
  <c r="AA20" i="6"/>
  <c r="I20" i="6"/>
  <c r="AC26" i="6"/>
  <c r="I24" i="6"/>
  <c r="Y22" i="6"/>
  <c r="AB26" i="6"/>
  <c r="L21" i="6"/>
  <c r="AA26" i="6"/>
  <c r="G24" i="6"/>
  <c r="T27" i="6"/>
  <c r="X24" i="6"/>
  <c r="V22" i="6"/>
  <c r="J19" i="6"/>
  <c r="W24" i="6"/>
  <c r="AA21" i="6"/>
  <c r="X26" i="6"/>
  <c r="Z21" i="6"/>
  <c r="W26" i="6"/>
  <c r="I23" i="6"/>
  <c r="L27" i="6"/>
  <c r="J25" i="6"/>
  <c r="V19" i="6"/>
  <c r="AA27" i="6"/>
  <c r="I27" i="6"/>
  <c r="O26" i="6"/>
  <c r="Y25" i="6"/>
  <c r="G25" i="6"/>
  <c r="M24" i="6"/>
  <c r="W23" i="6"/>
  <c r="AC22" i="6"/>
  <c r="K22" i="6"/>
  <c r="U21" i="6"/>
  <c r="Z20" i="6"/>
  <c r="H20" i="6"/>
  <c r="AA24" i="6"/>
  <c r="M21" i="6"/>
  <c r="V27" i="6"/>
  <c r="Z24" i="6"/>
  <c r="X22" i="6"/>
  <c r="U27" i="6"/>
  <c r="M23" i="6"/>
  <c r="K21" i="6"/>
  <c r="H26" i="6"/>
  <c r="AB21" i="6"/>
  <c r="Y26" i="6"/>
  <c r="I21" i="6"/>
  <c r="AA19" i="6"/>
  <c r="L25" i="6"/>
  <c r="T22" i="6"/>
  <c r="H19" i="6"/>
  <c r="U24" i="6"/>
  <c r="O22" i="6"/>
  <c r="G19" i="6"/>
  <c r="AB25" i="6"/>
  <c r="U19" i="6"/>
  <c r="Z27" i="6"/>
  <c r="H27" i="6"/>
  <c r="N26" i="6"/>
  <c r="X25" i="6"/>
  <c r="F25" i="6"/>
  <c r="L24" i="6"/>
  <c r="V23" i="6"/>
  <c r="AB22" i="6"/>
  <c r="J22" i="6"/>
  <c r="T21" i="6"/>
  <c r="Y20" i="6"/>
  <c r="G20" i="6"/>
  <c r="T19" i="6"/>
  <c r="F19" i="6"/>
  <c r="S27" i="6"/>
  <c r="E27" i="6"/>
  <c r="S26" i="6"/>
  <c r="E26" i="6"/>
  <c r="S25" i="6"/>
  <c r="E25" i="6"/>
  <c r="S24" i="6"/>
  <c r="E24" i="6"/>
  <c r="S23" i="6"/>
  <c r="E23" i="6"/>
  <c r="S22" i="6"/>
  <c r="E22" i="6"/>
  <c r="S21" i="6"/>
  <c r="E21" i="6"/>
  <c r="S20" i="6"/>
  <c r="E20" i="6"/>
  <c r="F21" i="6"/>
  <c r="F20" i="6"/>
  <c r="S19" i="6"/>
  <c r="E19" i="6"/>
  <c r="R27" i="6"/>
  <c r="D27" i="6"/>
  <c r="R26" i="6"/>
  <c r="D26" i="6"/>
  <c r="R25" i="6"/>
  <c r="D25" i="6"/>
  <c r="R24" i="6"/>
  <c r="D24" i="6"/>
  <c r="R23" i="6"/>
  <c r="D23" i="6"/>
  <c r="R22" i="6"/>
  <c r="D22" i="6"/>
  <c r="R21" i="6"/>
  <c r="D21" i="6"/>
  <c r="R20" i="6"/>
  <c r="D20" i="6"/>
  <c r="R19" i="6"/>
  <c r="D19" i="6"/>
  <c r="Q27" i="6"/>
  <c r="C27" i="6"/>
  <c r="Q26" i="6"/>
  <c r="C26" i="6"/>
  <c r="Q25" i="6"/>
  <c r="C25" i="6"/>
  <c r="Q24" i="6"/>
  <c r="C24" i="6"/>
  <c r="Q23" i="6"/>
  <c r="C23" i="6"/>
  <c r="Q22" i="6"/>
  <c r="C22" i="6"/>
  <c r="Q21" i="6"/>
  <c r="C21" i="6"/>
  <c r="Q20" i="6"/>
  <c r="C20" i="6"/>
  <c r="Q19" i="6"/>
  <c r="C19" i="6"/>
  <c r="P27" i="6"/>
  <c r="B27" i="6"/>
  <c r="P26" i="6"/>
  <c r="B26" i="6"/>
  <c r="P25" i="6"/>
  <c r="B25" i="6"/>
  <c r="P24" i="6"/>
  <c r="B24" i="6"/>
  <c r="P23" i="6"/>
  <c r="B23" i="6"/>
  <c r="P22" i="6"/>
  <c r="B22" i="6"/>
  <c r="P21" i="6"/>
  <c r="B21" i="6"/>
  <c r="P20" i="6"/>
  <c r="B2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<sst xmlns="http://schemas.openxmlformats.org/spreadsheetml/2006/main" count="100" uniqueCount="40">
  <si>
    <t>Name</t>
  </si>
  <si>
    <t>Shift</t>
  </si>
  <si>
    <t>Duration</t>
  </si>
  <si>
    <t>M1</t>
  </si>
  <si>
    <t>M2</t>
  </si>
  <si>
    <t>M3</t>
  </si>
  <si>
    <t>A1</t>
  </si>
  <si>
    <t>A2</t>
  </si>
  <si>
    <t>DO</t>
  </si>
  <si>
    <t>PH</t>
  </si>
  <si>
    <t>Staff 2</t>
  </si>
  <si>
    <t>Staff 1</t>
  </si>
  <si>
    <t>Staff 3</t>
  </si>
  <si>
    <t>Staff 4</t>
  </si>
  <si>
    <t>Staff 5</t>
  </si>
  <si>
    <t>Staff 6</t>
  </si>
  <si>
    <t>Staff 7</t>
  </si>
  <si>
    <t>Staff 8</t>
  </si>
  <si>
    <t>Staff 9</t>
  </si>
  <si>
    <t>Mon</t>
  </si>
  <si>
    <t>Tue</t>
  </si>
  <si>
    <t>Wed</t>
  </si>
  <si>
    <t>Thur</t>
  </si>
  <si>
    <t>Fri</t>
  </si>
  <si>
    <t>Sat</t>
  </si>
  <si>
    <t>Sun</t>
  </si>
  <si>
    <t>DO NOT ENTER</t>
  </si>
  <si>
    <t>Encoded result</t>
  </si>
  <si>
    <t>Decoded result</t>
  </si>
  <si>
    <t>Coverage statistics</t>
  </si>
  <si>
    <t>All AM Shift</t>
  </si>
  <si>
    <t>All PM Shift</t>
  </si>
  <si>
    <t>AM - AG1</t>
  </si>
  <si>
    <t>AM - AG2</t>
  </si>
  <si>
    <t>PM - AG1</t>
  </si>
  <si>
    <t>PM - AG2</t>
  </si>
  <si>
    <t>AM - AG3</t>
  </si>
  <si>
    <t>PM - AG3</t>
  </si>
  <si>
    <t>Weekend</t>
  </si>
  <si>
    <t>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</si>
</sst>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miter lim="800000"/>
        </a:ln>
        <a:ln w="19050" cap="flat" cmpd="sng" algn="ctr">
          <a:solidFill>
            <a:schemeClr val="phClr"/>
          </a:solidFill>
          <a:miter lim="800000"/>
        </a:ln>
        <a:ln w="25400" cap="flat" cmpd="sng" algn="ctr">
          <a:solidFill>
            <a:schemeClr val="phClr"/>
          </a:solidFill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57A7-D187-4C10-B240-208B0FE5805A}">
  <dimension ref="A1:AF38"/>
  <sheetViews>
    <sheetView tabSelected="1" zoomScale="70" zoomScaleNormal="70" workbookViewId="0">
      <selection activeCell="P44" sqref="P44"/>
    </sheetView>
  </sheetViews>
  <sheetFormatPr defaultRowHeight="14.5" x14ac:dyDescent="0.35"/>
  <cols>
    <col min="1" max="1" width="9.7265625" bestFit="1" customWidth="1"/>
    <col min="31" max="31" width="3.54296875" customWidth="1"/>
    <col min="32" max="32" width="12.453125" style="7" bestFit="1" customWidth="1"/>
  </cols>
  <sheetData>
    <row r="1" spans="1:32" x14ac:dyDescent="0.35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2" x14ac:dyDescent="0.35">
      <c r="A2" s="5" t="s">
        <v>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32" x14ac:dyDescent="0.35"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1" t="s">
        <v>24</v>
      </c>
      <c r="H3" s="1" t="s">
        <v>25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s="1" t="s">
        <v>24</v>
      </c>
      <c r="O3" s="1" t="s">
        <v>25</v>
      </c>
      <c r="P3" t="s">
        <v>19</v>
      </c>
      <c r="Q3" s="2" t="s">
        <v>20</v>
      </c>
      <c r="R3" s="2" t="s">
        <v>21</v>
      </c>
      <c r="S3" t="s">
        <v>22</v>
      </c>
      <c r="T3" t="s">
        <v>23</v>
      </c>
      <c r="U3" s="1" t="s">
        <v>24</v>
      </c>
      <c r="V3" s="1" t="s">
        <v>25</v>
      </c>
      <c r="W3" t="s">
        <v>19</v>
      </c>
      <c r="X3" s="2" t="s">
        <v>20</v>
      </c>
      <c r="Y3" s="2" t="s">
        <v>21</v>
      </c>
      <c r="Z3" t="s">
        <v>22</v>
      </c>
      <c r="AA3" t="s">
        <v>23</v>
      </c>
      <c r="AB3" s="1" t="s">
        <v>24</v>
      </c>
      <c r="AC3" s="1" t="s">
        <v>25</v>
      </c>
      <c r="AE3" s="1"/>
      <c r="AF3" s="7" t="s">
        <v>38</v>
      </c>
    </row>
    <row r="4" spans="1:32" x14ac:dyDescent="0.35">
      <c r="B4">
        <v>1</v>
      </c>
      <c r="C4">
        <v>2</v>
      </c>
      <c r="D4">
        <v>3</v>
      </c>
      <c r="E4">
        <v>4</v>
      </c>
      <c r="F4">
        <v>5</v>
      </c>
      <c r="G4" s="1">
        <v>6</v>
      </c>
      <c r="H4" s="1">
        <v>7</v>
      </c>
      <c r="I4">
        <v>8</v>
      </c>
      <c r="J4">
        <v>9</v>
      </c>
      <c r="K4">
        <v>10</v>
      </c>
      <c r="L4">
        <v>11</v>
      </c>
      <c r="M4">
        <v>12</v>
      </c>
      <c r="N4" s="1">
        <v>13</v>
      </c>
      <c r="O4" s="1">
        <v>14</v>
      </c>
      <c r="P4">
        <v>15</v>
      </c>
      <c r="Q4" s="2">
        <v>16</v>
      </c>
      <c r="R4" s="2">
        <v>17</v>
      </c>
      <c r="S4">
        <v>18</v>
      </c>
      <c r="T4">
        <v>19</v>
      </c>
      <c r="U4" s="1">
        <v>20</v>
      </c>
      <c r="V4" s="1">
        <v>21</v>
      </c>
      <c r="W4">
        <v>22</v>
      </c>
      <c r="X4" s="2">
        <v>23</v>
      </c>
      <c r="Y4" s="2">
        <v>24</v>
      </c>
      <c r="Z4">
        <v>25</v>
      </c>
      <c r="AA4">
        <v>26</v>
      </c>
      <c r="AB4" s="1">
        <v>27</v>
      </c>
      <c r="AC4" s="1">
        <v>28</v>
      </c>
      <c r="AE4" s="2"/>
      <c r="AF4" s="7" t="s">
        <v>39</v>
      </c>
    </row>
    <row r="5" spans="1:32" x14ac:dyDescent="0.35">
      <c r="A5" t="s">
        <v>11</v>
      </c>
      <c r="B5" cm="1">
        <f t="array" ref="B5:H13">week_1!A1:G9</f>
        <v>5</v>
      </c>
      <c r="C5">
        <v>5</v>
      </c>
      <c r="D5">
        <v>2</v>
      </c>
      <c r="E5">
        <v>6</v>
      </c>
      <c r="F5">
        <v>1</v>
      </c>
      <c r="G5">
        <v>5</v>
      </c>
      <c r="H5">
        <v>1</v>
      </c>
      <c r="I5" cm="1">
        <f t="array" ref="I5:O13">week_2!A1:G9</f>
        <v>2</v>
      </c>
      <c r="J5">
        <v>5</v>
      </c>
      <c r="K5">
        <v>2</v>
      </c>
      <c r="L5">
        <v>2</v>
      </c>
      <c r="M5">
        <v>2</v>
      </c>
      <c r="N5">
        <v>6</v>
      </c>
      <c r="O5">
        <v>2</v>
      </c>
      <c r="P5" cm="1">
        <f t="array" ref="P5:V13">week_3!A1:G9</f>
        <v>2</v>
      </c>
      <c r="Q5">
        <v>2</v>
      </c>
      <c r="R5">
        <v>5</v>
      </c>
      <c r="S5">
        <v>5</v>
      </c>
      <c r="T5">
        <v>6</v>
      </c>
      <c r="U5">
        <v>2</v>
      </c>
      <c r="V5">
        <v>2</v>
      </c>
      <c r="W5" cm="1">
        <f t="array" ref="W5:AC13">week_4!A1:G9</f>
        <v>5</v>
      </c>
      <c r="X5">
        <v>5</v>
      </c>
      <c r="Y5">
        <v>2</v>
      </c>
      <c r="Z5">
        <v>2</v>
      </c>
      <c r="AA5">
        <v>5</v>
      </c>
      <c r="AB5">
        <v>6</v>
      </c>
      <c r="AC5">
        <v>2</v>
      </c>
    </row>
    <row r="6" spans="1:32" x14ac:dyDescent="0.35">
      <c r="A6" t="s">
        <v>10</v>
      </c>
      <c r="B6">
        <v>4</v>
      </c>
      <c r="C6">
        <v>6</v>
      </c>
      <c r="D6">
        <v>2</v>
      </c>
      <c r="E6">
        <v>1</v>
      </c>
      <c r="F6">
        <v>3</v>
      </c>
      <c r="G6">
        <v>5</v>
      </c>
      <c r="H6">
        <v>4</v>
      </c>
      <c r="I6">
        <v>2</v>
      </c>
      <c r="J6">
        <v>2</v>
      </c>
      <c r="K6">
        <v>5</v>
      </c>
      <c r="L6">
        <v>5</v>
      </c>
      <c r="M6">
        <v>2</v>
      </c>
      <c r="N6">
        <v>2</v>
      </c>
      <c r="O6">
        <v>6</v>
      </c>
      <c r="P6">
        <v>5</v>
      </c>
      <c r="Q6">
        <v>7</v>
      </c>
      <c r="R6">
        <v>7</v>
      </c>
      <c r="S6">
        <v>2</v>
      </c>
      <c r="T6">
        <v>5</v>
      </c>
      <c r="U6">
        <v>2</v>
      </c>
      <c r="V6">
        <v>6</v>
      </c>
      <c r="W6">
        <v>5</v>
      </c>
      <c r="X6">
        <v>7</v>
      </c>
      <c r="Y6">
        <v>7</v>
      </c>
      <c r="Z6">
        <v>2</v>
      </c>
      <c r="AA6">
        <v>2</v>
      </c>
      <c r="AB6">
        <v>6</v>
      </c>
      <c r="AC6">
        <v>2</v>
      </c>
    </row>
    <row r="7" spans="1:32" x14ac:dyDescent="0.35">
      <c r="A7" t="s">
        <v>12</v>
      </c>
      <c r="B7">
        <v>1</v>
      </c>
      <c r="C7">
        <v>1</v>
      </c>
      <c r="D7">
        <v>1</v>
      </c>
      <c r="E7">
        <v>6</v>
      </c>
      <c r="F7">
        <v>3</v>
      </c>
      <c r="G7">
        <v>1</v>
      </c>
      <c r="H7">
        <v>4</v>
      </c>
      <c r="I7">
        <v>2</v>
      </c>
      <c r="J7">
        <v>2</v>
      </c>
      <c r="K7">
        <v>6</v>
      </c>
      <c r="L7">
        <v>2</v>
      </c>
      <c r="M7">
        <v>2</v>
      </c>
      <c r="N7">
        <v>2</v>
      </c>
      <c r="O7">
        <v>2</v>
      </c>
      <c r="P7">
        <v>6</v>
      </c>
      <c r="Q7">
        <v>7</v>
      </c>
      <c r="R7">
        <v>7</v>
      </c>
      <c r="S7">
        <v>2</v>
      </c>
      <c r="T7">
        <v>5</v>
      </c>
      <c r="U7">
        <v>2</v>
      </c>
      <c r="V7">
        <v>5</v>
      </c>
      <c r="W7">
        <v>6</v>
      </c>
      <c r="X7">
        <v>7</v>
      </c>
      <c r="Y7">
        <v>7</v>
      </c>
      <c r="Z7">
        <v>2</v>
      </c>
      <c r="AA7">
        <v>5</v>
      </c>
      <c r="AB7">
        <v>5</v>
      </c>
      <c r="AC7">
        <v>2</v>
      </c>
    </row>
    <row r="8" spans="1:32" x14ac:dyDescent="0.35">
      <c r="A8" t="s">
        <v>13</v>
      </c>
      <c r="B8">
        <v>6</v>
      </c>
      <c r="C8">
        <v>2</v>
      </c>
      <c r="D8">
        <v>5</v>
      </c>
      <c r="E8">
        <v>2</v>
      </c>
      <c r="F8">
        <v>5</v>
      </c>
      <c r="G8">
        <v>2</v>
      </c>
      <c r="H8">
        <v>2</v>
      </c>
      <c r="I8">
        <v>2</v>
      </c>
      <c r="J8">
        <v>2</v>
      </c>
      <c r="K8">
        <v>2</v>
      </c>
      <c r="L8">
        <v>5</v>
      </c>
      <c r="M8">
        <v>5</v>
      </c>
      <c r="N8">
        <v>6</v>
      </c>
      <c r="O8">
        <v>2</v>
      </c>
      <c r="P8">
        <v>5</v>
      </c>
      <c r="Q8">
        <v>7</v>
      </c>
      <c r="R8">
        <v>7</v>
      </c>
      <c r="S8">
        <v>6</v>
      </c>
      <c r="T8">
        <v>2</v>
      </c>
      <c r="U8">
        <v>2</v>
      </c>
      <c r="V8">
        <v>5</v>
      </c>
      <c r="W8">
        <v>2</v>
      </c>
      <c r="X8">
        <v>7</v>
      </c>
      <c r="Y8">
        <v>7</v>
      </c>
      <c r="Z8">
        <v>2</v>
      </c>
      <c r="AA8">
        <v>5</v>
      </c>
      <c r="AB8">
        <v>2</v>
      </c>
      <c r="AC8">
        <v>6</v>
      </c>
    </row>
    <row r="9" spans="1:32" x14ac:dyDescent="0.35">
      <c r="A9" t="s">
        <v>14</v>
      </c>
      <c r="B9">
        <v>3</v>
      </c>
      <c r="C9">
        <v>4</v>
      </c>
      <c r="D9">
        <v>1</v>
      </c>
      <c r="E9">
        <v>4</v>
      </c>
      <c r="F9">
        <v>6</v>
      </c>
      <c r="G9">
        <v>2</v>
      </c>
      <c r="H9">
        <v>2</v>
      </c>
      <c r="I9">
        <v>4</v>
      </c>
      <c r="J9">
        <v>4</v>
      </c>
      <c r="K9">
        <v>3</v>
      </c>
      <c r="L9">
        <v>1</v>
      </c>
      <c r="M9">
        <v>4</v>
      </c>
      <c r="N9">
        <v>4</v>
      </c>
      <c r="O9">
        <v>6</v>
      </c>
      <c r="P9">
        <v>2</v>
      </c>
      <c r="Q9">
        <v>2</v>
      </c>
      <c r="R9">
        <v>2</v>
      </c>
      <c r="S9">
        <v>2</v>
      </c>
      <c r="T9">
        <v>2</v>
      </c>
      <c r="U9">
        <v>5</v>
      </c>
      <c r="V9">
        <v>6</v>
      </c>
      <c r="W9">
        <v>2</v>
      </c>
      <c r="X9">
        <v>5</v>
      </c>
      <c r="Y9">
        <v>2</v>
      </c>
      <c r="Z9">
        <v>6</v>
      </c>
      <c r="AA9">
        <v>2</v>
      </c>
      <c r="AB9">
        <v>2</v>
      </c>
      <c r="AC9">
        <v>5</v>
      </c>
    </row>
    <row r="10" spans="1:32" x14ac:dyDescent="0.35">
      <c r="A10" t="s">
        <v>15</v>
      </c>
      <c r="B10">
        <v>6</v>
      </c>
      <c r="C10">
        <v>2</v>
      </c>
      <c r="D10">
        <v>5</v>
      </c>
      <c r="E10">
        <v>2</v>
      </c>
      <c r="F10">
        <v>5</v>
      </c>
      <c r="G10">
        <v>2</v>
      </c>
      <c r="H10">
        <v>5</v>
      </c>
      <c r="I10">
        <v>2</v>
      </c>
      <c r="J10">
        <v>6</v>
      </c>
      <c r="K10">
        <v>2</v>
      </c>
      <c r="L10">
        <v>2</v>
      </c>
      <c r="M10">
        <v>2</v>
      </c>
      <c r="N10">
        <v>5</v>
      </c>
      <c r="O10">
        <v>5</v>
      </c>
      <c r="P10">
        <v>2</v>
      </c>
      <c r="Q10">
        <v>5</v>
      </c>
      <c r="R10">
        <v>2</v>
      </c>
      <c r="S10">
        <v>2</v>
      </c>
      <c r="T10">
        <v>5</v>
      </c>
      <c r="U10">
        <v>5</v>
      </c>
      <c r="V10">
        <v>6</v>
      </c>
      <c r="W10">
        <v>2</v>
      </c>
      <c r="X10">
        <v>2</v>
      </c>
      <c r="Y10">
        <v>2</v>
      </c>
      <c r="Z10">
        <v>5</v>
      </c>
      <c r="AA10">
        <v>2</v>
      </c>
      <c r="AB10">
        <v>5</v>
      </c>
      <c r="AC10">
        <v>6</v>
      </c>
    </row>
    <row r="11" spans="1:32" x14ac:dyDescent="0.35">
      <c r="A11" t="s">
        <v>16</v>
      </c>
      <c r="B11">
        <v>4</v>
      </c>
      <c r="C11">
        <v>2</v>
      </c>
      <c r="D11">
        <v>1</v>
      </c>
      <c r="E11">
        <v>4</v>
      </c>
      <c r="F11">
        <v>1</v>
      </c>
      <c r="G11">
        <v>3</v>
      </c>
      <c r="H11">
        <v>6</v>
      </c>
      <c r="I11">
        <v>6</v>
      </c>
      <c r="J11">
        <v>2</v>
      </c>
      <c r="K11">
        <v>4</v>
      </c>
      <c r="L11">
        <v>4</v>
      </c>
      <c r="M11">
        <v>2</v>
      </c>
      <c r="N11">
        <v>2</v>
      </c>
      <c r="O11">
        <v>4</v>
      </c>
      <c r="P11">
        <v>5</v>
      </c>
      <c r="Q11">
        <v>5</v>
      </c>
      <c r="R11">
        <v>2</v>
      </c>
      <c r="S11">
        <v>5</v>
      </c>
      <c r="T11">
        <v>2</v>
      </c>
      <c r="U11">
        <v>5</v>
      </c>
      <c r="V11">
        <v>5</v>
      </c>
      <c r="W11">
        <v>2</v>
      </c>
      <c r="X11">
        <v>2</v>
      </c>
      <c r="Y11">
        <v>5</v>
      </c>
      <c r="Z11">
        <v>5</v>
      </c>
      <c r="AA11">
        <v>6</v>
      </c>
      <c r="AB11">
        <v>2</v>
      </c>
      <c r="AC11">
        <v>5</v>
      </c>
    </row>
    <row r="12" spans="1:32" x14ac:dyDescent="0.35">
      <c r="A12" t="s">
        <v>17</v>
      </c>
      <c r="B12">
        <v>1</v>
      </c>
      <c r="C12">
        <v>5</v>
      </c>
      <c r="D12">
        <v>4</v>
      </c>
      <c r="E12">
        <v>3</v>
      </c>
      <c r="F12">
        <v>1</v>
      </c>
      <c r="G12">
        <v>4</v>
      </c>
      <c r="H12">
        <v>6</v>
      </c>
      <c r="I12">
        <v>4</v>
      </c>
      <c r="J12">
        <v>5</v>
      </c>
      <c r="K12">
        <v>6</v>
      </c>
      <c r="L12">
        <v>2</v>
      </c>
      <c r="M12">
        <v>2</v>
      </c>
      <c r="N12">
        <v>5</v>
      </c>
      <c r="O12">
        <v>5</v>
      </c>
      <c r="P12">
        <v>2</v>
      </c>
      <c r="Q12">
        <v>2</v>
      </c>
      <c r="R12">
        <v>5</v>
      </c>
      <c r="S12">
        <v>5</v>
      </c>
      <c r="T12">
        <v>6</v>
      </c>
      <c r="U12">
        <v>2</v>
      </c>
      <c r="V12">
        <v>2</v>
      </c>
      <c r="W12">
        <v>5</v>
      </c>
      <c r="X12">
        <v>2</v>
      </c>
      <c r="Y12">
        <v>5</v>
      </c>
      <c r="Z12">
        <v>5</v>
      </c>
      <c r="AA12">
        <v>6</v>
      </c>
      <c r="AB12">
        <v>2</v>
      </c>
      <c r="AC12">
        <v>2</v>
      </c>
    </row>
    <row r="13" spans="1:32" x14ac:dyDescent="0.35">
      <c r="A13" t="s">
        <v>18</v>
      </c>
      <c r="B13">
        <v>1</v>
      </c>
      <c r="C13">
        <v>5</v>
      </c>
      <c r="D13">
        <v>2</v>
      </c>
      <c r="E13">
        <v>4</v>
      </c>
      <c r="F13">
        <v>5</v>
      </c>
      <c r="G13">
        <v>6</v>
      </c>
      <c r="H13">
        <v>3</v>
      </c>
      <c r="I13">
        <v>4</v>
      </c>
      <c r="J13">
        <v>2</v>
      </c>
      <c r="K13">
        <v>4</v>
      </c>
      <c r="L13">
        <v>2</v>
      </c>
      <c r="M13">
        <v>5</v>
      </c>
      <c r="N13">
        <v>1</v>
      </c>
      <c r="O13">
        <v>6</v>
      </c>
      <c r="P13">
        <v>6</v>
      </c>
      <c r="Q13">
        <v>7</v>
      </c>
      <c r="R13">
        <v>7</v>
      </c>
      <c r="S13">
        <v>2</v>
      </c>
      <c r="T13">
        <v>2</v>
      </c>
      <c r="U13">
        <v>2</v>
      </c>
      <c r="V13">
        <v>2</v>
      </c>
      <c r="W13">
        <v>6</v>
      </c>
      <c r="X13">
        <v>7</v>
      </c>
      <c r="Y13">
        <v>7</v>
      </c>
      <c r="Z13">
        <v>2</v>
      </c>
      <c r="AA13">
        <v>2</v>
      </c>
      <c r="AB13">
        <v>5</v>
      </c>
      <c r="AC13">
        <v>5</v>
      </c>
    </row>
    <row r="15" spans="1:32" x14ac:dyDescent="0.35">
      <c r="A15" s="4" t="s">
        <v>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2" x14ac:dyDescent="0.35">
      <c r="A16" s="5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35"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s="1" t="s">
        <v>24</v>
      </c>
      <c r="H17" s="1" t="s">
        <v>25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  <c r="N17" s="1" t="s">
        <v>24</v>
      </c>
      <c r="O17" s="1" t="s">
        <v>25</v>
      </c>
      <c r="P17" t="s">
        <v>19</v>
      </c>
      <c r="Q17" s="2" t="s">
        <v>20</v>
      </c>
      <c r="R17" s="2" t="s">
        <v>21</v>
      </c>
      <c r="S17" t="s">
        <v>22</v>
      </c>
      <c r="T17" t="s">
        <v>23</v>
      </c>
      <c r="U17" s="1" t="s">
        <v>24</v>
      </c>
      <c r="V17" s="1" t="s">
        <v>25</v>
      </c>
      <c r="W17" t="s">
        <v>19</v>
      </c>
      <c r="X17" s="2" t="s">
        <v>20</v>
      </c>
      <c r="Y17" s="2" t="s">
        <v>21</v>
      </c>
      <c r="Z17" t="s">
        <v>22</v>
      </c>
      <c r="AA17" t="s">
        <v>23</v>
      </c>
      <c r="AB17" s="1" t="s">
        <v>24</v>
      </c>
      <c r="AC17" s="1" t="s">
        <v>25</v>
      </c>
    </row>
    <row r="18" spans="1:29" x14ac:dyDescent="0.35">
      <c r="B18">
        <v>1</v>
      </c>
      <c r="C18">
        <v>2</v>
      </c>
      <c r="D18">
        <v>3</v>
      </c>
      <c r="E18">
        <v>4</v>
      </c>
      <c r="F18">
        <v>5</v>
      </c>
      <c r="G18" s="1">
        <v>6</v>
      </c>
      <c r="H18" s="1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 s="1">
        <v>13</v>
      </c>
      <c r="O18" s="1">
        <v>14</v>
      </c>
      <c r="P18">
        <v>15</v>
      </c>
      <c r="Q18" s="2">
        <v>16</v>
      </c>
      <c r="R18" s="2">
        <v>17</v>
      </c>
      <c r="S18">
        <v>18</v>
      </c>
      <c r="T18">
        <v>19</v>
      </c>
      <c r="U18" s="1">
        <v>20</v>
      </c>
      <c r="V18" s="1">
        <v>21</v>
      </c>
      <c r="W18">
        <v>22</v>
      </c>
      <c r="X18" s="2">
        <v>23</v>
      </c>
      <c r="Y18" s="2">
        <v>24</v>
      </c>
      <c r="Z18">
        <v>25</v>
      </c>
      <c r="AA18">
        <v>26</v>
      </c>
      <c r="AB18" s="1">
        <v>27</v>
      </c>
      <c r="AC18" s="1">
        <v>28</v>
      </c>
    </row>
    <row r="19" spans="1:29" x14ac:dyDescent="0.35">
      <c r="A19" t="s">
        <v>11</v>
      </c>
      <c r="B19" s="3" t="str">
        <f>_xlfn.XLOOKUP(B5,parameters!$B:$B,parameters!$A:$A)</f>
        <v>A2</v>
      </c>
      <c r="C19" s="3" t="str">
        <f>_xlfn.XLOOKUP(C5,parameters!$B:$B,parameters!$A:$A)</f>
        <v>A2</v>
      </c>
      <c r="D19" s="3" t="str">
        <f>_xlfn.XLOOKUP(D5,parameters!$B:$B,parameters!$A:$A)</f>
        <v>M2</v>
      </c>
      <c r="E19" s="3" t="str">
        <f>_xlfn.XLOOKUP(E5,parameters!$B:$B,parameters!$A:$A)</f>
        <v>DO</v>
      </c>
      <c r="F19" s="3" t="str">
        <f>_xlfn.XLOOKUP(F5,parameters!$B:$B,parameters!$A:$A)</f>
        <v>M1</v>
      </c>
      <c r="G19" s="3" t="str">
        <f>_xlfn.XLOOKUP(G5,parameters!$B:$B,parameters!$A:$A)</f>
        <v>A2</v>
      </c>
      <c r="H19" s="3" t="str">
        <f>_xlfn.XLOOKUP(H5,parameters!$B:$B,parameters!$A:$A)</f>
        <v>M1</v>
      </c>
      <c r="I19" s="3" t="str">
        <f>_xlfn.XLOOKUP(I5,parameters!$B:$B,parameters!$A:$A)</f>
        <v>M2</v>
      </c>
      <c r="J19" s="3" t="str">
        <f>_xlfn.XLOOKUP(J5,parameters!$B:$B,parameters!$A:$A)</f>
        <v>A2</v>
      </c>
      <c r="K19" s="3" t="str">
        <f>_xlfn.XLOOKUP(K5,parameters!$B:$B,parameters!$A:$A)</f>
        <v>M2</v>
      </c>
      <c r="L19" s="3" t="str">
        <f>_xlfn.XLOOKUP(L5,parameters!$B:$B,parameters!$A:$A)</f>
        <v>M2</v>
      </c>
      <c r="M19" s="3" t="str">
        <f>_xlfn.XLOOKUP(M5,parameters!$B:$B,parameters!$A:$A)</f>
        <v>M2</v>
      </c>
      <c r="N19" s="3" t="str">
        <f>_xlfn.XLOOKUP(N5,parameters!$B:$B,parameters!$A:$A)</f>
        <v>DO</v>
      </c>
      <c r="O19" s="3" t="str">
        <f>_xlfn.XLOOKUP(O5,parameters!$B:$B,parameters!$A:$A)</f>
        <v>M2</v>
      </c>
      <c r="P19" s="3" t="str">
        <f>_xlfn.XLOOKUP(P5,parameters!$B:$B,parameters!$A:$A)</f>
        <v>M2</v>
      </c>
      <c r="Q19" s="3" t="str">
        <f>_xlfn.XLOOKUP(Q5,parameters!$B:$B,parameters!$A:$A)</f>
        <v>M2</v>
      </c>
      <c r="R19" s="3" t="str">
        <f>_xlfn.XLOOKUP(R5,parameters!$B:$B,parameters!$A:$A)</f>
        <v>A2</v>
      </c>
      <c r="S19" s="3" t="str">
        <f>_xlfn.XLOOKUP(S5,parameters!$B:$B,parameters!$A:$A)</f>
        <v>A2</v>
      </c>
      <c r="T19" s="3" t="str">
        <f>_xlfn.XLOOKUP(T5,parameters!$B:$B,parameters!$A:$A)</f>
        <v>DO</v>
      </c>
      <c r="U19" s="3" t="str">
        <f>_xlfn.XLOOKUP(U5,parameters!$B:$B,parameters!$A:$A)</f>
        <v>M2</v>
      </c>
      <c r="V19" s="3" t="str">
        <f>_xlfn.XLOOKUP(V5,parameters!$B:$B,parameters!$A:$A)</f>
        <v>M2</v>
      </c>
      <c r="W19" s="3" t="str">
        <f>_xlfn.XLOOKUP(W5,parameters!$B:$B,parameters!$A:$A)</f>
        <v>A2</v>
      </c>
      <c r="X19" s="3" t="str">
        <f>_xlfn.XLOOKUP(X5,parameters!$B:$B,parameters!$A:$A)</f>
        <v>A2</v>
      </c>
      <c r="Y19" s="3" t="str">
        <f>_xlfn.XLOOKUP(Y5,parameters!$B:$B,parameters!$A:$A)</f>
        <v>M2</v>
      </c>
      <c r="Z19" s="3" t="str">
        <f>_xlfn.XLOOKUP(Z5,parameters!$B:$B,parameters!$A:$A)</f>
        <v>M2</v>
      </c>
      <c r="AA19" s="3" t="str">
        <f>_xlfn.XLOOKUP(AA5,parameters!$B:$B,parameters!$A:$A)</f>
        <v>A2</v>
      </c>
      <c r="AB19" s="3" t="str">
        <f>_xlfn.XLOOKUP(AB5,parameters!$B:$B,parameters!$A:$A)</f>
        <v>DO</v>
      </c>
      <c r="AC19" s="3" t="str">
        <f>_xlfn.XLOOKUP(AC5,parameters!$B:$B,parameters!$A:$A)</f>
        <v>M2</v>
      </c>
    </row>
    <row r="20" spans="1:29" x14ac:dyDescent="0.35">
      <c r="A20" t="s">
        <v>10</v>
      </c>
      <c r="B20" s="3" t="str">
        <f>_xlfn.XLOOKUP(B6,parameters!$B:$B,parameters!$A:$A)</f>
        <v>A1</v>
      </c>
      <c r="C20" s="3" t="str">
        <f>_xlfn.XLOOKUP(C6,parameters!$B:$B,parameters!$A:$A)</f>
        <v>DO</v>
      </c>
      <c r="D20" s="3" t="str">
        <f>_xlfn.XLOOKUP(D6,parameters!$B:$B,parameters!$A:$A)</f>
        <v>M2</v>
      </c>
      <c r="E20" s="3" t="str">
        <f>_xlfn.XLOOKUP(E6,parameters!$B:$B,parameters!$A:$A)</f>
        <v>M1</v>
      </c>
      <c r="F20" s="3" t="str">
        <f>_xlfn.XLOOKUP(F6,parameters!$B:$B,parameters!$A:$A)</f>
        <v>M3</v>
      </c>
      <c r="G20" s="3" t="str">
        <f>_xlfn.XLOOKUP(G6,parameters!$B:$B,parameters!$A:$A)</f>
        <v>A2</v>
      </c>
      <c r="H20" s="3" t="str">
        <f>_xlfn.XLOOKUP(H6,parameters!$B:$B,parameters!$A:$A)</f>
        <v>A1</v>
      </c>
      <c r="I20" s="3" t="str">
        <f>_xlfn.XLOOKUP(I6,parameters!$B:$B,parameters!$A:$A)</f>
        <v>M2</v>
      </c>
      <c r="J20" s="3" t="str">
        <f>_xlfn.XLOOKUP(J6,parameters!$B:$B,parameters!$A:$A)</f>
        <v>M2</v>
      </c>
      <c r="K20" s="3" t="str">
        <f>_xlfn.XLOOKUP(K6,parameters!$B:$B,parameters!$A:$A)</f>
        <v>A2</v>
      </c>
      <c r="L20" s="3" t="str">
        <f>_xlfn.XLOOKUP(L6,parameters!$B:$B,parameters!$A:$A)</f>
        <v>A2</v>
      </c>
      <c r="M20" s="3" t="str">
        <f>_xlfn.XLOOKUP(M6,parameters!$B:$B,parameters!$A:$A)</f>
        <v>M2</v>
      </c>
      <c r="N20" s="3" t="str">
        <f>_xlfn.XLOOKUP(N6,parameters!$B:$B,parameters!$A:$A)</f>
        <v>M2</v>
      </c>
      <c r="O20" s="3" t="str">
        <f>_xlfn.XLOOKUP(O6,parameters!$B:$B,parameters!$A:$A)</f>
        <v>DO</v>
      </c>
      <c r="P20" s="3" t="str">
        <f>_xlfn.XLOOKUP(P6,parameters!$B:$B,parameters!$A:$A)</f>
        <v>A2</v>
      </c>
      <c r="Q20" s="3" t="str">
        <f>_xlfn.XLOOKUP(Q6,parameters!$B:$B,parameters!$A:$A)</f>
        <v>PH</v>
      </c>
      <c r="R20" s="3" t="str">
        <f>_xlfn.XLOOKUP(R6,parameters!$B:$B,parameters!$A:$A)</f>
        <v>PH</v>
      </c>
      <c r="S20" s="3" t="str">
        <f>_xlfn.XLOOKUP(S6,parameters!$B:$B,parameters!$A:$A)</f>
        <v>M2</v>
      </c>
      <c r="T20" s="3" t="str">
        <f>_xlfn.XLOOKUP(T6,parameters!$B:$B,parameters!$A:$A)</f>
        <v>A2</v>
      </c>
      <c r="U20" s="3" t="str">
        <f>_xlfn.XLOOKUP(U6,parameters!$B:$B,parameters!$A:$A)</f>
        <v>M2</v>
      </c>
      <c r="V20" s="3" t="str">
        <f>_xlfn.XLOOKUP(V6,parameters!$B:$B,parameters!$A:$A)</f>
        <v>DO</v>
      </c>
      <c r="W20" s="3" t="str">
        <f>_xlfn.XLOOKUP(W6,parameters!$B:$B,parameters!$A:$A)</f>
        <v>A2</v>
      </c>
      <c r="X20" s="3" t="str">
        <f>_xlfn.XLOOKUP(X6,parameters!$B:$B,parameters!$A:$A)</f>
        <v>PH</v>
      </c>
      <c r="Y20" s="3" t="str">
        <f>_xlfn.XLOOKUP(Y6,parameters!$B:$B,parameters!$A:$A)</f>
        <v>PH</v>
      </c>
      <c r="Z20" s="3" t="str">
        <f>_xlfn.XLOOKUP(Z6,parameters!$B:$B,parameters!$A:$A)</f>
        <v>M2</v>
      </c>
      <c r="AA20" s="3" t="str">
        <f>_xlfn.XLOOKUP(AA6,parameters!$B:$B,parameters!$A:$A)</f>
        <v>M2</v>
      </c>
      <c r="AB20" s="3" t="str">
        <f>_xlfn.XLOOKUP(AB6,parameters!$B:$B,parameters!$A:$A)</f>
        <v>DO</v>
      </c>
      <c r="AC20" s="3" t="str">
        <f>_xlfn.XLOOKUP(AC6,parameters!$B:$B,parameters!$A:$A)</f>
        <v>M2</v>
      </c>
    </row>
    <row r="21" spans="1:29" x14ac:dyDescent="0.35">
      <c r="A21" t="s">
        <v>12</v>
      </c>
      <c r="B21" s="3" t="str">
        <f>_xlfn.XLOOKUP(B7,parameters!$B:$B,parameters!$A:$A)</f>
        <v>M1</v>
      </c>
      <c r="C21" s="3" t="str">
        <f>_xlfn.XLOOKUP(C7,parameters!$B:$B,parameters!$A:$A)</f>
        <v>M1</v>
      </c>
      <c r="D21" s="3" t="str">
        <f>_xlfn.XLOOKUP(D7,parameters!$B:$B,parameters!$A:$A)</f>
        <v>M1</v>
      </c>
      <c r="E21" s="3" t="str">
        <f>_xlfn.XLOOKUP(E7,parameters!$B:$B,parameters!$A:$A)</f>
        <v>DO</v>
      </c>
      <c r="F21" s="3" t="str">
        <f>_xlfn.XLOOKUP(F7,parameters!$B:$B,parameters!$A:$A)</f>
        <v>M3</v>
      </c>
      <c r="G21" s="3" t="str">
        <f>_xlfn.XLOOKUP(G7,parameters!$B:$B,parameters!$A:$A)</f>
        <v>M1</v>
      </c>
      <c r="H21" s="3" t="str">
        <f>_xlfn.XLOOKUP(H7,parameters!$B:$B,parameters!$A:$A)</f>
        <v>A1</v>
      </c>
      <c r="I21" s="3" t="str">
        <f>_xlfn.XLOOKUP(I7,parameters!$B:$B,parameters!$A:$A)</f>
        <v>M2</v>
      </c>
      <c r="J21" s="3" t="str">
        <f>_xlfn.XLOOKUP(J7,parameters!$B:$B,parameters!$A:$A)</f>
        <v>M2</v>
      </c>
      <c r="K21" s="3" t="str">
        <f>_xlfn.XLOOKUP(K7,parameters!$B:$B,parameters!$A:$A)</f>
        <v>DO</v>
      </c>
      <c r="L21" s="3" t="str">
        <f>_xlfn.XLOOKUP(L7,parameters!$B:$B,parameters!$A:$A)</f>
        <v>M2</v>
      </c>
      <c r="M21" s="3" t="str">
        <f>_xlfn.XLOOKUP(M7,parameters!$B:$B,parameters!$A:$A)</f>
        <v>M2</v>
      </c>
      <c r="N21" s="3" t="str">
        <f>_xlfn.XLOOKUP(N7,parameters!$B:$B,parameters!$A:$A)</f>
        <v>M2</v>
      </c>
      <c r="O21" s="3" t="str">
        <f>_xlfn.XLOOKUP(O7,parameters!$B:$B,parameters!$A:$A)</f>
        <v>M2</v>
      </c>
      <c r="P21" s="3" t="str">
        <f>_xlfn.XLOOKUP(P7,parameters!$B:$B,parameters!$A:$A)</f>
        <v>DO</v>
      </c>
      <c r="Q21" s="3" t="str">
        <f>_xlfn.XLOOKUP(Q7,parameters!$B:$B,parameters!$A:$A)</f>
        <v>PH</v>
      </c>
      <c r="R21" s="3" t="str">
        <f>_xlfn.XLOOKUP(R7,parameters!$B:$B,parameters!$A:$A)</f>
        <v>PH</v>
      </c>
      <c r="S21" s="3" t="str">
        <f>_xlfn.XLOOKUP(S7,parameters!$B:$B,parameters!$A:$A)</f>
        <v>M2</v>
      </c>
      <c r="T21" s="3" t="str">
        <f>_xlfn.XLOOKUP(T7,parameters!$B:$B,parameters!$A:$A)</f>
        <v>A2</v>
      </c>
      <c r="U21" s="3" t="str">
        <f>_xlfn.XLOOKUP(U7,parameters!$B:$B,parameters!$A:$A)</f>
        <v>M2</v>
      </c>
      <c r="V21" s="3" t="str">
        <f>_xlfn.XLOOKUP(V7,parameters!$B:$B,parameters!$A:$A)</f>
        <v>A2</v>
      </c>
      <c r="W21" s="3" t="str">
        <f>_xlfn.XLOOKUP(W7,parameters!$B:$B,parameters!$A:$A)</f>
        <v>DO</v>
      </c>
      <c r="X21" s="3" t="str">
        <f>_xlfn.XLOOKUP(X7,parameters!$B:$B,parameters!$A:$A)</f>
        <v>PH</v>
      </c>
      <c r="Y21" s="3" t="str">
        <f>_xlfn.XLOOKUP(Y7,parameters!$B:$B,parameters!$A:$A)</f>
        <v>PH</v>
      </c>
      <c r="Z21" s="3" t="str">
        <f>_xlfn.XLOOKUP(Z7,parameters!$B:$B,parameters!$A:$A)</f>
        <v>M2</v>
      </c>
      <c r="AA21" s="3" t="str">
        <f>_xlfn.XLOOKUP(AA7,parameters!$B:$B,parameters!$A:$A)</f>
        <v>A2</v>
      </c>
      <c r="AB21" s="3" t="str">
        <f>_xlfn.XLOOKUP(AB7,parameters!$B:$B,parameters!$A:$A)</f>
        <v>A2</v>
      </c>
      <c r="AC21" s="3" t="str">
        <f>_xlfn.XLOOKUP(AC7,parameters!$B:$B,parameters!$A:$A)</f>
        <v>M2</v>
      </c>
    </row>
    <row r="22" spans="1:29" x14ac:dyDescent="0.35">
      <c r="A22" t="s">
        <v>13</v>
      </c>
      <c r="B22" s="3" t="str">
        <f>_xlfn.XLOOKUP(B8,parameters!$B:$B,parameters!$A:$A)</f>
        <v>DO</v>
      </c>
      <c r="C22" s="3" t="str">
        <f>_xlfn.XLOOKUP(C8,parameters!$B:$B,parameters!$A:$A)</f>
        <v>M2</v>
      </c>
      <c r="D22" s="3" t="str">
        <f>_xlfn.XLOOKUP(D8,parameters!$B:$B,parameters!$A:$A)</f>
        <v>A2</v>
      </c>
      <c r="E22" s="3" t="str">
        <f>_xlfn.XLOOKUP(E8,parameters!$B:$B,parameters!$A:$A)</f>
        <v>M2</v>
      </c>
      <c r="F22" s="3" t="str">
        <f>_xlfn.XLOOKUP(F8,parameters!$B:$B,parameters!$A:$A)</f>
        <v>A2</v>
      </c>
      <c r="G22" s="3" t="str">
        <f>_xlfn.XLOOKUP(G8,parameters!$B:$B,parameters!$A:$A)</f>
        <v>M2</v>
      </c>
      <c r="H22" s="3" t="str">
        <f>_xlfn.XLOOKUP(H8,parameters!$B:$B,parameters!$A:$A)</f>
        <v>M2</v>
      </c>
      <c r="I22" s="3" t="str">
        <f>_xlfn.XLOOKUP(I8,parameters!$B:$B,parameters!$A:$A)</f>
        <v>M2</v>
      </c>
      <c r="J22" s="3" t="str">
        <f>_xlfn.XLOOKUP(J8,parameters!$B:$B,parameters!$A:$A)</f>
        <v>M2</v>
      </c>
      <c r="K22" s="3" t="str">
        <f>_xlfn.XLOOKUP(K8,parameters!$B:$B,parameters!$A:$A)</f>
        <v>M2</v>
      </c>
      <c r="L22" s="3" t="str">
        <f>_xlfn.XLOOKUP(L8,parameters!$B:$B,parameters!$A:$A)</f>
        <v>A2</v>
      </c>
      <c r="M22" s="3" t="str">
        <f>_xlfn.XLOOKUP(M8,parameters!$B:$B,parameters!$A:$A)</f>
        <v>A2</v>
      </c>
      <c r="N22" s="3" t="str">
        <f>_xlfn.XLOOKUP(N8,parameters!$B:$B,parameters!$A:$A)</f>
        <v>DO</v>
      </c>
      <c r="O22" s="3" t="str">
        <f>_xlfn.XLOOKUP(O8,parameters!$B:$B,parameters!$A:$A)</f>
        <v>M2</v>
      </c>
      <c r="P22" s="3" t="str">
        <f>_xlfn.XLOOKUP(P8,parameters!$B:$B,parameters!$A:$A)</f>
        <v>A2</v>
      </c>
      <c r="Q22" s="3" t="str">
        <f>_xlfn.XLOOKUP(Q8,parameters!$B:$B,parameters!$A:$A)</f>
        <v>PH</v>
      </c>
      <c r="R22" s="3" t="str">
        <f>_xlfn.XLOOKUP(R8,parameters!$B:$B,parameters!$A:$A)</f>
        <v>PH</v>
      </c>
      <c r="S22" s="3" t="str">
        <f>_xlfn.XLOOKUP(S8,parameters!$B:$B,parameters!$A:$A)</f>
        <v>DO</v>
      </c>
      <c r="T22" s="3" t="str">
        <f>_xlfn.XLOOKUP(T8,parameters!$B:$B,parameters!$A:$A)</f>
        <v>M2</v>
      </c>
      <c r="U22" s="3" t="str">
        <f>_xlfn.XLOOKUP(U8,parameters!$B:$B,parameters!$A:$A)</f>
        <v>M2</v>
      </c>
      <c r="V22" s="3" t="str">
        <f>_xlfn.XLOOKUP(V8,parameters!$B:$B,parameters!$A:$A)</f>
        <v>A2</v>
      </c>
      <c r="W22" s="3" t="str">
        <f>_xlfn.XLOOKUP(W8,parameters!$B:$B,parameters!$A:$A)</f>
        <v>M2</v>
      </c>
      <c r="X22" s="3" t="str">
        <f>_xlfn.XLOOKUP(X8,parameters!$B:$B,parameters!$A:$A)</f>
        <v>PH</v>
      </c>
      <c r="Y22" s="3" t="str">
        <f>_xlfn.XLOOKUP(Y8,parameters!$B:$B,parameters!$A:$A)</f>
        <v>PH</v>
      </c>
      <c r="Z22" s="3" t="str">
        <f>_xlfn.XLOOKUP(Z8,parameters!$B:$B,parameters!$A:$A)</f>
        <v>M2</v>
      </c>
      <c r="AA22" s="3" t="str">
        <f>_xlfn.XLOOKUP(AA8,parameters!$B:$B,parameters!$A:$A)</f>
        <v>A2</v>
      </c>
      <c r="AB22" s="3" t="str">
        <f>_xlfn.XLOOKUP(AB8,parameters!$B:$B,parameters!$A:$A)</f>
        <v>M2</v>
      </c>
      <c r="AC22" s="3" t="str">
        <f>_xlfn.XLOOKUP(AC8,parameters!$B:$B,parameters!$A:$A)</f>
        <v>DO</v>
      </c>
    </row>
    <row r="23" spans="1:29" x14ac:dyDescent="0.35">
      <c r="A23" t="s">
        <v>14</v>
      </c>
      <c r="B23" s="3" t="str">
        <f>_xlfn.XLOOKUP(B9,parameters!$B:$B,parameters!$A:$A)</f>
        <v>M3</v>
      </c>
      <c r="C23" s="3" t="str">
        <f>_xlfn.XLOOKUP(C9,parameters!$B:$B,parameters!$A:$A)</f>
        <v>A1</v>
      </c>
      <c r="D23" s="3" t="str">
        <f>_xlfn.XLOOKUP(D9,parameters!$B:$B,parameters!$A:$A)</f>
        <v>M1</v>
      </c>
      <c r="E23" s="3" t="str">
        <f>_xlfn.XLOOKUP(E9,parameters!$B:$B,parameters!$A:$A)</f>
        <v>A1</v>
      </c>
      <c r="F23" s="3" t="str">
        <f>_xlfn.XLOOKUP(F9,parameters!$B:$B,parameters!$A:$A)</f>
        <v>DO</v>
      </c>
      <c r="G23" s="3" t="str">
        <f>_xlfn.XLOOKUP(G9,parameters!$B:$B,parameters!$A:$A)</f>
        <v>M2</v>
      </c>
      <c r="H23" s="3" t="str">
        <f>_xlfn.XLOOKUP(H9,parameters!$B:$B,parameters!$A:$A)</f>
        <v>M2</v>
      </c>
      <c r="I23" s="3" t="str">
        <f>_xlfn.XLOOKUP(I9,parameters!$B:$B,parameters!$A:$A)</f>
        <v>A1</v>
      </c>
      <c r="J23" s="3" t="str">
        <f>_xlfn.XLOOKUP(J9,parameters!$B:$B,parameters!$A:$A)</f>
        <v>A1</v>
      </c>
      <c r="K23" s="3" t="str">
        <f>_xlfn.XLOOKUP(K9,parameters!$B:$B,parameters!$A:$A)</f>
        <v>M3</v>
      </c>
      <c r="L23" s="3" t="str">
        <f>_xlfn.XLOOKUP(L9,parameters!$B:$B,parameters!$A:$A)</f>
        <v>M1</v>
      </c>
      <c r="M23" s="3" t="str">
        <f>_xlfn.XLOOKUP(M9,parameters!$B:$B,parameters!$A:$A)</f>
        <v>A1</v>
      </c>
      <c r="N23" s="3" t="str">
        <f>_xlfn.XLOOKUP(N9,parameters!$B:$B,parameters!$A:$A)</f>
        <v>A1</v>
      </c>
      <c r="O23" s="3" t="str">
        <f>_xlfn.XLOOKUP(O9,parameters!$B:$B,parameters!$A:$A)</f>
        <v>DO</v>
      </c>
      <c r="P23" s="3" t="str">
        <f>_xlfn.XLOOKUP(P9,parameters!$B:$B,parameters!$A:$A)</f>
        <v>M2</v>
      </c>
      <c r="Q23" s="3" t="str">
        <f>_xlfn.XLOOKUP(Q9,parameters!$B:$B,parameters!$A:$A)</f>
        <v>M2</v>
      </c>
      <c r="R23" s="3" t="str">
        <f>_xlfn.XLOOKUP(R9,parameters!$B:$B,parameters!$A:$A)</f>
        <v>M2</v>
      </c>
      <c r="S23" s="3" t="str">
        <f>_xlfn.XLOOKUP(S9,parameters!$B:$B,parameters!$A:$A)</f>
        <v>M2</v>
      </c>
      <c r="T23" s="3" t="str">
        <f>_xlfn.XLOOKUP(T9,parameters!$B:$B,parameters!$A:$A)</f>
        <v>M2</v>
      </c>
      <c r="U23" s="3" t="str">
        <f>_xlfn.XLOOKUP(U9,parameters!$B:$B,parameters!$A:$A)</f>
        <v>A2</v>
      </c>
      <c r="V23" s="3" t="str">
        <f>_xlfn.XLOOKUP(V9,parameters!$B:$B,parameters!$A:$A)</f>
        <v>DO</v>
      </c>
      <c r="W23" s="3" t="str">
        <f>_xlfn.XLOOKUP(W9,parameters!$B:$B,parameters!$A:$A)</f>
        <v>M2</v>
      </c>
      <c r="X23" s="3" t="str">
        <f>_xlfn.XLOOKUP(X9,parameters!$B:$B,parameters!$A:$A)</f>
        <v>A2</v>
      </c>
      <c r="Y23" s="3" t="str">
        <f>_xlfn.XLOOKUP(Y9,parameters!$B:$B,parameters!$A:$A)</f>
        <v>M2</v>
      </c>
      <c r="Z23" s="3" t="str">
        <f>_xlfn.XLOOKUP(Z9,parameters!$B:$B,parameters!$A:$A)</f>
        <v>DO</v>
      </c>
      <c r="AA23" s="3" t="str">
        <f>_xlfn.XLOOKUP(AA9,parameters!$B:$B,parameters!$A:$A)</f>
        <v>M2</v>
      </c>
      <c r="AB23" s="3" t="str">
        <f>_xlfn.XLOOKUP(AB9,parameters!$B:$B,parameters!$A:$A)</f>
        <v>M2</v>
      </c>
      <c r="AC23" s="3" t="str">
        <f>_xlfn.XLOOKUP(AC9,parameters!$B:$B,parameters!$A:$A)</f>
        <v>A2</v>
      </c>
    </row>
    <row r="24" spans="1:29" x14ac:dyDescent="0.35">
      <c r="A24" t="s">
        <v>15</v>
      </c>
      <c r="B24" s="3" t="str">
        <f>_xlfn.XLOOKUP(B10,parameters!$B:$B,parameters!$A:$A)</f>
        <v>DO</v>
      </c>
      <c r="C24" s="3" t="str">
        <f>_xlfn.XLOOKUP(C10,parameters!$B:$B,parameters!$A:$A)</f>
        <v>M2</v>
      </c>
      <c r="D24" s="3" t="str">
        <f>_xlfn.XLOOKUP(D10,parameters!$B:$B,parameters!$A:$A)</f>
        <v>A2</v>
      </c>
      <c r="E24" s="3" t="str">
        <f>_xlfn.XLOOKUP(E10,parameters!$B:$B,parameters!$A:$A)</f>
        <v>M2</v>
      </c>
      <c r="F24" s="3" t="str">
        <f>_xlfn.XLOOKUP(F10,parameters!$B:$B,parameters!$A:$A)</f>
        <v>A2</v>
      </c>
      <c r="G24" s="3" t="str">
        <f>_xlfn.XLOOKUP(G10,parameters!$B:$B,parameters!$A:$A)</f>
        <v>M2</v>
      </c>
      <c r="H24" s="3" t="str">
        <f>_xlfn.XLOOKUP(H10,parameters!$B:$B,parameters!$A:$A)</f>
        <v>A2</v>
      </c>
      <c r="I24" s="3" t="str">
        <f>_xlfn.XLOOKUP(I10,parameters!$B:$B,parameters!$A:$A)</f>
        <v>M2</v>
      </c>
      <c r="J24" s="3" t="str">
        <f>_xlfn.XLOOKUP(J10,parameters!$B:$B,parameters!$A:$A)</f>
        <v>DO</v>
      </c>
      <c r="K24" s="3" t="str">
        <f>_xlfn.XLOOKUP(K10,parameters!$B:$B,parameters!$A:$A)</f>
        <v>M2</v>
      </c>
      <c r="L24" s="3" t="str">
        <f>_xlfn.XLOOKUP(L10,parameters!$B:$B,parameters!$A:$A)</f>
        <v>M2</v>
      </c>
      <c r="M24" s="3" t="str">
        <f>_xlfn.XLOOKUP(M10,parameters!$B:$B,parameters!$A:$A)</f>
        <v>M2</v>
      </c>
      <c r="N24" s="3" t="str">
        <f>_xlfn.XLOOKUP(N10,parameters!$B:$B,parameters!$A:$A)</f>
        <v>A2</v>
      </c>
      <c r="O24" s="3" t="str">
        <f>_xlfn.XLOOKUP(O10,parameters!$B:$B,parameters!$A:$A)</f>
        <v>A2</v>
      </c>
      <c r="P24" s="3" t="str">
        <f>_xlfn.XLOOKUP(P10,parameters!$B:$B,parameters!$A:$A)</f>
        <v>M2</v>
      </c>
      <c r="Q24" s="3" t="str">
        <f>_xlfn.XLOOKUP(Q10,parameters!$B:$B,parameters!$A:$A)</f>
        <v>A2</v>
      </c>
      <c r="R24" s="3" t="str">
        <f>_xlfn.XLOOKUP(R10,parameters!$B:$B,parameters!$A:$A)</f>
        <v>M2</v>
      </c>
      <c r="S24" s="3" t="str">
        <f>_xlfn.XLOOKUP(S10,parameters!$B:$B,parameters!$A:$A)</f>
        <v>M2</v>
      </c>
      <c r="T24" s="3" t="str">
        <f>_xlfn.XLOOKUP(T10,parameters!$B:$B,parameters!$A:$A)</f>
        <v>A2</v>
      </c>
      <c r="U24" s="3" t="str">
        <f>_xlfn.XLOOKUP(U10,parameters!$B:$B,parameters!$A:$A)</f>
        <v>A2</v>
      </c>
      <c r="V24" s="3" t="str">
        <f>_xlfn.XLOOKUP(V10,parameters!$B:$B,parameters!$A:$A)</f>
        <v>DO</v>
      </c>
      <c r="W24" s="3" t="str">
        <f>_xlfn.XLOOKUP(W10,parameters!$B:$B,parameters!$A:$A)</f>
        <v>M2</v>
      </c>
      <c r="X24" s="3" t="str">
        <f>_xlfn.XLOOKUP(X10,parameters!$B:$B,parameters!$A:$A)</f>
        <v>M2</v>
      </c>
      <c r="Y24" s="3" t="str">
        <f>_xlfn.XLOOKUP(Y10,parameters!$B:$B,parameters!$A:$A)</f>
        <v>M2</v>
      </c>
      <c r="Z24" s="3" t="str">
        <f>_xlfn.XLOOKUP(Z10,parameters!$B:$B,parameters!$A:$A)</f>
        <v>A2</v>
      </c>
      <c r="AA24" s="3" t="str">
        <f>_xlfn.XLOOKUP(AA10,parameters!$B:$B,parameters!$A:$A)</f>
        <v>M2</v>
      </c>
      <c r="AB24" s="3" t="str">
        <f>_xlfn.XLOOKUP(AB10,parameters!$B:$B,parameters!$A:$A)</f>
        <v>A2</v>
      </c>
      <c r="AC24" s="3" t="str">
        <f>_xlfn.XLOOKUP(AC10,parameters!$B:$B,parameters!$A:$A)</f>
        <v>DO</v>
      </c>
    </row>
    <row r="25" spans="1:29" x14ac:dyDescent="0.35">
      <c r="A25" t="s">
        <v>16</v>
      </c>
      <c r="B25" s="3" t="str">
        <f>_xlfn.XLOOKUP(B11,parameters!$B:$B,parameters!$A:$A)</f>
        <v>A1</v>
      </c>
      <c r="C25" s="3" t="str">
        <f>_xlfn.XLOOKUP(C11,parameters!$B:$B,parameters!$A:$A)</f>
        <v>M2</v>
      </c>
      <c r="D25" s="3" t="str">
        <f>_xlfn.XLOOKUP(D11,parameters!$B:$B,parameters!$A:$A)</f>
        <v>M1</v>
      </c>
      <c r="E25" s="3" t="str">
        <f>_xlfn.XLOOKUP(E11,parameters!$B:$B,parameters!$A:$A)</f>
        <v>A1</v>
      </c>
      <c r="F25" s="3" t="str">
        <f>_xlfn.XLOOKUP(F11,parameters!$B:$B,parameters!$A:$A)</f>
        <v>M1</v>
      </c>
      <c r="G25" s="3" t="str">
        <f>_xlfn.XLOOKUP(G11,parameters!$B:$B,parameters!$A:$A)</f>
        <v>M3</v>
      </c>
      <c r="H25" s="3" t="str">
        <f>_xlfn.XLOOKUP(H11,parameters!$B:$B,parameters!$A:$A)</f>
        <v>DO</v>
      </c>
      <c r="I25" s="3" t="str">
        <f>_xlfn.XLOOKUP(I11,parameters!$B:$B,parameters!$A:$A)</f>
        <v>DO</v>
      </c>
      <c r="J25" s="3" t="str">
        <f>_xlfn.XLOOKUP(J11,parameters!$B:$B,parameters!$A:$A)</f>
        <v>M2</v>
      </c>
      <c r="K25" s="3" t="str">
        <f>_xlfn.XLOOKUP(K11,parameters!$B:$B,parameters!$A:$A)</f>
        <v>A1</v>
      </c>
      <c r="L25" s="3" t="str">
        <f>_xlfn.XLOOKUP(L11,parameters!$B:$B,parameters!$A:$A)</f>
        <v>A1</v>
      </c>
      <c r="M25" s="3" t="str">
        <f>_xlfn.XLOOKUP(M11,parameters!$B:$B,parameters!$A:$A)</f>
        <v>M2</v>
      </c>
      <c r="N25" s="3" t="str">
        <f>_xlfn.XLOOKUP(N11,parameters!$B:$B,parameters!$A:$A)</f>
        <v>M2</v>
      </c>
      <c r="O25" s="3" t="str">
        <f>_xlfn.XLOOKUP(O11,parameters!$B:$B,parameters!$A:$A)</f>
        <v>A1</v>
      </c>
      <c r="P25" s="3" t="str">
        <f>_xlfn.XLOOKUP(P11,parameters!$B:$B,parameters!$A:$A)</f>
        <v>A2</v>
      </c>
      <c r="Q25" s="3" t="str">
        <f>_xlfn.XLOOKUP(Q11,parameters!$B:$B,parameters!$A:$A)</f>
        <v>A2</v>
      </c>
      <c r="R25" s="3" t="str">
        <f>_xlfn.XLOOKUP(R11,parameters!$B:$B,parameters!$A:$A)</f>
        <v>M2</v>
      </c>
      <c r="S25" s="3" t="str">
        <f>_xlfn.XLOOKUP(S11,parameters!$B:$B,parameters!$A:$A)</f>
        <v>A2</v>
      </c>
      <c r="T25" s="3" t="str">
        <f>_xlfn.XLOOKUP(T11,parameters!$B:$B,parameters!$A:$A)</f>
        <v>M2</v>
      </c>
      <c r="U25" s="3" t="str">
        <f>_xlfn.XLOOKUP(U11,parameters!$B:$B,parameters!$A:$A)</f>
        <v>A2</v>
      </c>
      <c r="V25" s="3" t="str">
        <f>_xlfn.XLOOKUP(V11,parameters!$B:$B,parameters!$A:$A)</f>
        <v>A2</v>
      </c>
      <c r="W25" s="3" t="str">
        <f>_xlfn.XLOOKUP(W11,parameters!$B:$B,parameters!$A:$A)</f>
        <v>M2</v>
      </c>
      <c r="X25" s="3" t="str">
        <f>_xlfn.XLOOKUP(X11,parameters!$B:$B,parameters!$A:$A)</f>
        <v>M2</v>
      </c>
      <c r="Y25" s="3" t="str">
        <f>_xlfn.XLOOKUP(Y11,parameters!$B:$B,parameters!$A:$A)</f>
        <v>A2</v>
      </c>
      <c r="Z25" s="3" t="str">
        <f>_xlfn.XLOOKUP(Z11,parameters!$B:$B,parameters!$A:$A)</f>
        <v>A2</v>
      </c>
      <c r="AA25" s="3" t="str">
        <f>_xlfn.XLOOKUP(AA11,parameters!$B:$B,parameters!$A:$A)</f>
        <v>DO</v>
      </c>
      <c r="AB25" s="3" t="str">
        <f>_xlfn.XLOOKUP(AB11,parameters!$B:$B,parameters!$A:$A)</f>
        <v>M2</v>
      </c>
      <c r="AC25" s="3" t="str">
        <f>_xlfn.XLOOKUP(AC11,parameters!$B:$B,parameters!$A:$A)</f>
        <v>A2</v>
      </c>
    </row>
    <row r="26" spans="1:29" x14ac:dyDescent="0.35">
      <c r="A26" t="s">
        <v>17</v>
      </c>
      <c r="B26" s="3" t="str">
        <f>_xlfn.XLOOKUP(B12,parameters!$B:$B,parameters!$A:$A)</f>
        <v>M1</v>
      </c>
      <c r="C26" s="3" t="str">
        <f>_xlfn.XLOOKUP(C12,parameters!$B:$B,parameters!$A:$A)</f>
        <v>A2</v>
      </c>
      <c r="D26" s="3" t="str">
        <f>_xlfn.XLOOKUP(D12,parameters!$B:$B,parameters!$A:$A)</f>
        <v>A1</v>
      </c>
      <c r="E26" s="3" t="str">
        <f>_xlfn.XLOOKUP(E12,parameters!$B:$B,parameters!$A:$A)</f>
        <v>M3</v>
      </c>
      <c r="F26" s="3" t="str">
        <f>_xlfn.XLOOKUP(F12,parameters!$B:$B,parameters!$A:$A)</f>
        <v>M1</v>
      </c>
      <c r="G26" s="3" t="str">
        <f>_xlfn.XLOOKUP(G12,parameters!$B:$B,parameters!$A:$A)</f>
        <v>A1</v>
      </c>
      <c r="H26" s="3" t="str">
        <f>_xlfn.XLOOKUP(H12,parameters!$B:$B,parameters!$A:$A)</f>
        <v>DO</v>
      </c>
      <c r="I26" s="3" t="str">
        <f>_xlfn.XLOOKUP(I12,parameters!$B:$B,parameters!$A:$A)</f>
        <v>A1</v>
      </c>
      <c r="J26" s="3" t="str">
        <f>_xlfn.XLOOKUP(J12,parameters!$B:$B,parameters!$A:$A)</f>
        <v>A2</v>
      </c>
      <c r="K26" s="3" t="str">
        <f>_xlfn.XLOOKUP(K12,parameters!$B:$B,parameters!$A:$A)</f>
        <v>DO</v>
      </c>
      <c r="L26" s="3" t="str">
        <f>_xlfn.XLOOKUP(L12,parameters!$B:$B,parameters!$A:$A)</f>
        <v>M2</v>
      </c>
      <c r="M26" s="3" t="str">
        <f>_xlfn.XLOOKUP(M12,parameters!$B:$B,parameters!$A:$A)</f>
        <v>M2</v>
      </c>
      <c r="N26" s="3" t="str">
        <f>_xlfn.XLOOKUP(N12,parameters!$B:$B,parameters!$A:$A)</f>
        <v>A2</v>
      </c>
      <c r="O26" s="3" t="str">
        <f>_xlfn.XLOOKUP(O12,parameters!$B:$B,parameters!$A:$A)</f>
        <v>A2</v>
      </c>
      <c r="P26" s="3" t="str">
        <f>_xlfn.XLOOKUP(P12,parameters!$B:$B,parameters!$A:$A)</f>
        <v>M2</v>
      </c>
      <c r="Q26" s="3" t="str">
        <f>_xlfn.XLOOKUP(Q12,parameters!$B:$B,parameters!$A:$A)</f>
        <v>M2</v>
      </c>
      <c r="R26" s="3" t="str">
        <f>_xlfn.XLOOKUP(R12,parameters!$B:$B,parameters!$A:$A)</f>
        <v>A2</v>
      </c>
      <c r="S26" s="3" t="str">
        <f>_xlfn.XLOOKUP(S12,parameters!$B:$B,parameters!$A:$A)</f>
        <v>A2</v>
      </c>
      <c r="T26" s="3" t="str">
        <f>_xlfn.XLOOKUP(T12,parameters!$B:$B,parameters!$A:$A)</f>
        <v>DO</v>
      </c>
      <c r="U26" s="3" t="str">
        <f>_xlfn.XLOOKUP(U12,parameters!$B:$B,parameters!$A:$A)</f>
        <v>M2</v>
      </c>
      <c r="V26" s="3" t="str">
        <f>_xlfn.XLOOKUP(V12,parameters!$B:$B,parameters!$A:$A)</f>
        <v>M2</v>
      </c>
      <c r="W26" s="3" t="str">
        <f>_xlfn.XLOOKUP(W12,parameters!$B:$B,parameters!$A:$A)</f>
        <v>A2</v>
      </c>
      <c r="X26" s="3" t="str">
        <f>_xlfn.XLOOKUP(X12,parameters!$B:$B,parameters!$A:$A)</f>
        <v>M2</v>
      </c>
      <c r="Y26" s="3" t="str">
        <f>_xlfn.XLOOKUP(Y12,parameters!$B:$B,parameters!$A:$A)</f>
        <v>A2</v>
      </c>
      <c r="Z26" s="3" t="str">
        <f>_xlfn.XLOOKUP(Z12,parameters!$B:$B,parameters!$A:$A)</f>
        <v>A2</v>
      </c>
      <c r="AA26" s="3" t="str">
        <f>_xlfn.XLOOKUP(AA12,parameters!$B:$B,parameters!$A:$A)</f>
        <v>DO</v>
      </c>
      <c r="AB26" s="3" t="str">
        <f>_xlfn.XLOOKUP(AB12,parameters!$B:$B,parameters!$A:$A)</f>
        <v>M2</v>
      </c>
      <c r="AC26" s="3" t="str">
        <f>_xlfn.XLOOKUP(AC12,parameters!$B:$B,parameters!$A:$A)</f>
        <v>M2</v>
      </c>
    </row>
    <row r="27" spans="1:29" x14ac:dyDescent="0.35">
      <c r="A27" t="s">
        <v>18</v>
      </c>
      <c r="B27" s="3" t="str">
        <f>_xlfn.XLOOKUP(B13,parameters!$B:$B,parameters!$A:$A)</f>
        <v>M1</v>
      </c>
      <c r="C27" s="3" t="str">
        <f>_xlfn.XLOOKUP(C13,parameters!$B:$B,parameters!$A:$A)</f>
        <v>A2</v>
      </c>
      <c r="D27" s="3" t="str">
        <f>_xlfn.XLOOKUP(D13,parameters!$B:$B,parameters!$A:$A)</f>
        <v>M2</v>
      </c>
      <c r="E27" s="3" t="str">
        <f>_xlfn.XLOOKUP(E13,parameters!$B:$B,parameters!$A:$A)</f>
        <v>A1</v>
      </c>
      <c r="F27" s="3" t="str">
        <f>_xlfn.XLOOKUP(F13,parameters!$B:$B,parameters!$A:$A)</f>
        <v>A2</v>
      </c>
      <c r="G27" s="3" t="str">
        <f>_xlfn.XLOOKUP(G13,parameters!$B:$B,parameters!$A:$A)</f>
        <v>DO</v>
      </c>
      <c r="H27" s="3" t="str">
        <f>_xlfn.XLOOKUP(H13,parameters!$B:$B,parameters!$A:$A)</f>
        <v>M3</v>
      </c>
      <c r="I27" s="3" t="str">
        <f>_xlfn.XLOOKUP(I13,parameters!$B:$B,parameters!$A:$A)</f>
        <v>A1</v>
      </c>
      <c r="J27" s="3" t="str">
        <f>_xlfn.XLOOKUP(J13,parameters!$B:$B,parameters!$A:$A)</f>
        <v>M2</v>
      </c>
      <c r="K27" s="3" t="str">
        <f>_xlfn.XLOOKUP(K13,parameters!$B:$B,parameters!$A:$A)</f>
        <v>A1</v>
      </c>
      <c r="L27" s="3" t="str">
        <f>_xlfn.XLOOKUP(L13,parameters!$B:$B,parameters!$A:$A)</f>
        <v>M2</v>
      </c>
      <c r="M27" s="3" t="str">
        <f>_xlfn.XLOOKUP(M13,parameters!$B:$B,parameters!$A:$A)</f>
        <v>A2</v>
      </c>
      <c r="N27" s="3" t="str">
        <f>_xlfn.XLOOKUP(N13,parameters!$B:$B,parameters!$A:$A)</f>
        <v>M1</v>
      </c>
      <c r="O27" s="3" t="str">
        <f>_xlfn.XLOOKUP(O13,parameters!$B:$B,parameters!$A:$A)</f>
        <v>DO</v>
      </c>
      <c r="P27" s="3" t="str">
        <f>_xlfn.XLOOKUP(P13,parameters!$B:$B,parameters!$A:$A)</f>
        <v>DO</v>
      </c>
      <c r="Q27" s="3" t="str">
        <f>_xlfn.XLOOKUP(Q13,parameters!$B:$B,parameters!$A:$A)</f>
        <v>PH</v>
      </c>
      <c r="R27" s="3" t="str">
        <f>_xlfn.XLOOKUP(R13,parameters!$B:$B,parameters!$A:$A)</f>
        <v>PH</v>
      </c>
      <c r="S27" s="3" t="str">
        <f>_xlfn.XLOOKUP(S13,parameters!$B:$B,parameters!$A:$A)</f>
        <v>M2</v>
      </c>
      <c r="T27" s="3" t="str">
        <f>_xlfn.XLOOKUP(T13,parameters!$B:$B,parameters!$A:$A)</f>
        <v>M2</v>
      </c>
      <c r="U27" s="3" t="str">
        <f>_xlfn.XLOOKUP(U13,parameters!$B:$B,parameters!$A:$A)</f>
        <v>M2</v>
      </c>
      <c r="V27" s="3" t="str">
        <f>_xlfn.XLOOKUP(V13,parameters!$B:$B,parameters!$A:$A)</f>
        <v>M2</v>
      </c>
      <c r="W27" s="3" t="str">
        <f>_xlfn.XLOOKUP(W13,parameters!$B:$B,parameters!$A:$A)</f>
        <v>DO</v>
      </c>
      <c r="X27" s="3" t="str">
        <f>_xlfn.XLOOKUP(X13,parameters!$B:$B,parameters!$A:$A)</f>
        <v>PH</v>
      </c>
      <c r="Y27" s="3" t="str">
        <f>_xlfn.XLOOKUP(Y13,parameters!$B:$B,parameters!$A:$A)</f>
        <v>PH</v>
      </c>
      <c r="Z27" s="3" t="str">
        <f>_xlfn.XLOOKUP(Z13,parameters!$B:$B,parameters!$A:$A)</f>
        <v>M2</v>
      </c>
      <c r="AA27" s="3" t="str">
        <f>_xlfn.XLOOKUP(AA13,parameters!$B:$B,parameters!$A:$A)</f>
        <v>M2</v>
      </c>
      <c r="AB27" s="3" t="str">
        <f>_xlfn.XLOOKUP(AB13,parameters!$B:$B,parameters!$A:$A)</f>
        <v>A2</v>
      </c>
      <c r="AC27" s="3" t="str">
        <f>_xlfn.XLOOKUP(AC13,parameters!$B:$B,parameters!$A:$A)</f>
        <v>A2</v>
      </c>
    </row>
    <row r="29" spans="1:29" x14ac:dyDescent="0.35">
      <c r="A29" s="4" t="s">
        <v>26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35">
      <c r="A30" s="6" t="s"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35">
      <c r="A31" t="s">
        <v>30</v>
      </c>
      <c r="B31">
        <f t="shared" ref="B31:G32" si="0">SUM(B33,B35,B37)</f>
        <v>4</v>
      </c>
      <c r="C31">
        <f t="shared" si="0"/>
        <v>4</v>
      </c>
      <c r="D31">
        <f t="shared" si="0"/>
        <v>6</v>
      </c>
      <c r="E31">
        <f t="shared" si="0"/>
        <v>4</v>
      </c>
      <c r="F31">
        <f t="shared" si="0"/>
        <v>5</v>
      </c>
      <c r="G31">
        <f t="shared" si="0"/>
        <v>5</v>
      </c>
      <c r="H31">
        <f t="shared" ref="H31:AC31" si="1">SUM(H33,H35,H37)</f>
        <v>4</v>
      </c>
      <c r="I31">
        <f t="shared" si="1"/>
        <v>5</v>
      </c>
      <c r="J31">
        <f t="shared" si="1"/>
        <v>5</v>
      </c>
      <c r="K31">
        <f t="shared" si="1"/>
        <v>4</v>
      </c>
      <c r="L31">
        <f t="shared" si="1"/>
        <v>6</v>
      </c>
      <c r="M31">
        <f t="shared" si="1"/>
        <v>6</v>
      </c>
      <c r="N31">
        <f t="shared" si="1"/>
        <v>4</v>
      </c>
      <c r="O31">
        <f t="shared" si="1"/>
        <v>3</v>
      </c>
      <c r="P31">
        <f t="shared" si="1"/>
        <v>4</v>
      </c>
      <c r="Q31">
        <f t="shared" si="1"/>
        <v>3</v>
      </c>
      <c r="R31">
        <f t="shared" si="1"/>
        <v>3</v>
      </c>
      <c r="S31">
        <f t="shared" si="1"/>
        <v>5</v>
      </c>
      <c r="T31">
        <f t="shared" si="1"/>
        <v>4</v>
      </c>
      <c r="U31">
        <f t="shared" si="1"/>
        <v>6</v>
      </c>
      <c r="V31">
        <f t="shared" si="1"/>
        <v>3</v>
      </c>
      <c r="W31">
        <f t="shared" si="1"/>
        <v>4</v>
      </c>
      <c r="X31">
        <f t="shared" si="1"/>
        <v>3</v>
      </c>
      <c r="Y31">
        <f t="shared" si="1"/>
        <v>3</v>
      </c>
      <c r="Z31">
        <f t="shared" si="1"/>
        <v>5</v>
      </c>
      <c r="AA31">
        <f t="shared" si="1"/>
        <v>4</v>
      </c>
      <c r="AB31">
        <f t="shared" si="1"/>
        <v>4</v>
      </c>
      <c r="AC31">
        <f t="shared" si="1"/>
        <v>4</v>
      </c>
    </row>
    <row r="32" spans="1:29" x14ac:dyDescent="0.35">
      <c r="A32" t="s">
        <v>31</v>
      </c>
      <c r="B32">
        <f t="shared" si="0"/>
        <v>3</v>
      </c>
      <c r="C32">
        <f t="shared" si="0"/>
        <v>4</v>
      </c>
      <c r="D32">
        <f t="shared" si="0"/>
        <v>3</v>
      </c>
      <c r="E32">
        <f t="shared" si="0"/>
        <v>3</v>
      </c>
      <c r="F32">
        <f t="shared" si="0"/>
        <v>3</v>
      </c>
      <c r="G32">
        <f t="shared" si="0"/>
        <v>3</v>
      </c>
      <c r="H32">
        <f t="shared" ref="H32:AC32" si="2">SUM(H34,H36,H38)</f>
        <v>3</v>
      </c>
      <c r="I32">
        <f t="shared" si="2"/>
        <v>3</v>
      </c>
      <c r="J32">
        <f t="shared" si="2"/>
        <v>3</v>
      </c>
      <c r="K32">
        <f t="shared" si="2"/>
        <v>3</v>
      </c>
      <c r="L32">
        <f t="shared" si="2"/>
        <v>3</v>
      </c>
      <c r="M32">
        <f t="shared" si="2"/>
        <v>3</v>
      </c>
      <c r="N32">
        <f t="shared" si="2"/>
        <v>3</v>
      </c>
      <c r="O32">
        <f t="shared" si="2"/>
        <v>3</v>
      </c>
      <c r="P32">
        <f t="shared" si="2"/>
        <v>3</v>
      </c>
      <c r="Q32">
        <f t="shared" si="2"/>
        <v>2</v>
      </c>
      <c r="R32">
        <f t="shared" si="2"/>
        <v>2</v>
      </c>
      <c r="S32">
        <f t="shared" si="2"/>
        <v>3</v>
      </c>
      <c r="T32">
        <f t="shared" si="2"/>
        <v>3</v>
      </c>
      <c r="U32">
        <f t="shared" si="2"/>
        <v>3</v>
      </c>
      <c r="V32">
        <f t="shared" si="2"/>
        <v>3</v>
      </c>
      <c r="W32">
        <f t="shared" si="2"/>
        <v>3</v>
      </c>
      <c r="X32">
        <f t="shared" si="2"/>
        <v>2</v>
      </c>
      <c r="Y32">
        <f t="shared" si="2"/>
        <v>2</v>
      </c>
      <c r="Z32">
        <f t="shared" si="2"/>
        <v>3</v>
      </c>
      <c r="AA32">
        <f t="shared" si="2"/>
        <v>3</v>
      </c>
      <c r="AB32">
        <f t="shared" si="2"/>
        <v>3</v>
      </c>
      <c r="AC32">
        <f t="shared" si="2"/>
        <v>3</v>
      </c>
    </row>
    <row r="33" spans="1:29" x14ac:dyDescent="0.35">
      <c r="A33" t="s">
        <v>32</v>
      </c>
      <c r="B33" cm="1">
        <f t="array" ref="B33">SUMPRODUCT((B19:B22={"M1","M2","M3"})*1)</f>
        <v>1</v>
      </c>
      <c r="C33" cm="1">
        <f t="array" ref="C33">SUMPRODUCT((C19:C22={"M1","M2","M3"})*1)</f>
        <v>2</v>
      </c>
      <c r="D33" cm="1">
        <f t="array" ref="D33">SUMPRODUCT((D19:D22={"M1","M2","M3"})*1)</f>
        <v>3</v>
      </c>
      <c r="E33" cm="1">
        <f t="array" ref="E33">SUMPRODUCT((E19:E22={"M1","M2","M3"})*1)</f>
        <v>2</v>
      </c>
      <c r="F33" cm="1">
        <f t="array" ref="F33">SUMPRODUCT((F19:F22={"M1","M2","M3"})*1)</f>
        <v>3</v>
      </c>
      <c r="G33" cm="1">
        <f t="array" ref="G33">SUMPRODUCT((G19:G22={"M1","M2","M3"})*1)</f>
        <v>2</v>
      </c>
      <c r="H33" cm="1">
        <f t="array" ref="H33">SUMPRODUCT((H19:H22={"M1","M2","M3"})*1)</f>
        <v>2</v>
      </c>
      <c r="I33" cm="1">
        <f t="array" ref="I33">SUMPRODUCT((I19:I22={"M1","M2","M3"})*1)</f>
        <v>4</v>
      </c>
      <c r="J33" cm="1">
        <f t="array" ref="J33">SUMPRODUCT((J19:J22={"M1","M2","M3"})*1)</f>
        <v>3</v>
      </c>
      <c r="K33" cm="1">
        <f t="array" ref="K33">SUMPRODUCT((K19:K22={"M1","M2","M3"})*1)</f>
        <v>2</v>
      </c>
      <c r="L33" cm="1">
        <f t="array" ref="L33">SUMPRODUCT((L19:L22={"M1","M2","M3"})*1)</f>
        <v>2</v>
      </c>
      <c r="M33" cm="1">
        <f t="array" ref="M33">SUMPRODUCT((M19:M22={"M1","M2","M3"})*1)</f>
        <v>3</v>
      </c>
      <c r="N33" cm="1">
        <f t="array" ref="N33">SUMPRODUCT((N19:N22={"M1","M2","M3"})*1)</f>
        <v>2</v>
      </c>
      <c r="O33" cm="1">
        <f t="array" ref="O33">SUMPRODUCT((O19:O22={"M1","M2","M3"})*1)</f>
        <v>3</v>
      </c>
      <c r="P33" cm="1">
        <f t="array" ref="P33">SUMPRODUCT((P19:P22={"M1","M2","M3"})*1)</f>
        <v>1</v>
      </c>
      <c r="Q33" cm="1">
        <f t="array" ref="Q33">SUMPRODUCT((Q19:Q22={"M1","M2","M3"})*1)</f>
        <v>1</v>
      </c>
      <c r="R33" cm="1">
        <f t="array" ref="R33">SUMPRODUCT((R19:R22={"M1","M2","M3"})*1)</f>
        <v>0</v>
      </c>
      <c r="S33" cm="1">
        <f t="array" ref="S33">SUMPRODUCT((S19:S22={"M1","M2","M3"})*1)</f>
        <v>2</v>
      </c>
      <c r="T33" cm="1">
        <f t="array" ref="T33">SUMPRODUCT((T19:T22={"M1","M2","M3"})*1)</f>
        <v>1</v>
      </c>
      <c r="U33" cm="1">
        <f t="array" ref="U33">SUMPRODUCT((U19:U22={"M1","M2","M3"})*1)</f>
        <v>4</v>
      </c>
      <c r="V33" cm="1">
        <f t="array" ref="V33">SUMPRODUCT((V19:V22={"M1","M2","M3"})*1)</f>
        <v>1</v>
      </c>
      <c r="W33" cm="1">
        <f t="array" ref="W33">SUMPRODUCT((W19:W22={"M1","M2","M3"})*1)</f>
        <v>1</v>
      </c>
      <c r="X33" cm="1">
        <f t="array" ref="X33">SUMPRODUCT((X19:X22={"M1","M2","M3"})*1)</f>
        <v>0</v>
      </c>
      <c r="Y33" cm="1">
        <f t="array" ref="Y33">SUMPRODUCT((Y19:Y22={"M1","M2","M3"})*1)</f>
        <v>1</v>
      </c>
      <c r="Z33" cm="1">
        <f t="array" ref="Z33">SUMPRODUCT((Z19:Z22={"M1","M2","M3"})*1)</f>
        <v>4</v>
      </c>
      <c r="AA33" cm="1">
        <f t="array" ref="AA33">SUMPRODUCT((AA19:AA22={"M1","M2","M3"})*1)</f>
        <v>1</v>
      </c>
      <c r="AB33" cm="1">
        <f t="array" ref="AB33">SUMPRODUCT((AB19:AB22={"M1","M2","M3"})*1)</f>
        <v>1</v>
      </c>
      <c r="AC33" cm="1">
        <f t="array" ref="AC33">SUMPRODUCT((AC19:AC22={"M1","M2","M3"})*1)</f>
        <v>3</v>
      </c>
    </row>
    <row r="34" spans="1:29" x14ac:dyDescent="0.35">
      <c r="A34" t="s">
        <v>34</v>
      </c>
      <c r="B34" cm="1">
        <f t="array" ref="B34">SUMPRODUCT((B19:B22={"A1","A2"})*1)</f>
        <v>2</v>
      </c>
      <c r="C34" cm="1">
        <f t="array" ref="C34">SUMPRODUCT((C19:C22={"A1","A2"})*1)</f>
        <v>1</v>
      </c>
      <c r="D34" cm="1">
        <f t="array" ref="D34">SUMPRODUCT((D19:D22={"A1","A2"})*1)</f>
        <v>1</v>
      </c>
      <c r="E34" cm="1">
        <f t="array" ref="E34">SUMPRODUCT((E19:E22={"A1","A2"})*1)</f>
        <v>0</v>
      </c>
      <c r="F34" cm="1">
        <f t="array" ref="F34">SUMPRODUCT((F19:F22={"A1","A2"})*1)</f>
        <v>1</v>
      </c>
      <c r="G34" cm="1">
        <f t="array" ref="G34">SUMPRODUCT((G19:G22={"A1","A2"})*1)</f>
        <v>2</v>
      </c>
      <c r="H34" cm="1">
        <f t="array" ref="H34">SUMPRODUCT((H19:H22={"A1","A2"})*1)</f>
        <v>2</v>
      </c>
      <c r="I34" cm="1">
        <f t="array" ref="I34">SUMPRODUCT((I19:I22={"A1","A2"})*1)</f>
        <v>0</v>
      </c>
      <c r="J34" cm="1">
        <f t="array" ref="J34">SUMPRODUCT((J19:J22={"A1","A2"})*1)</f>
        <v>1</v>
      </c>
      <c r="K34" cm="1">
        <f t="array" ref="K34">SUMPRODUCT((K19:K22={"A1","A2"})*1)</f>
        <v>1</v>
      </c>
      <c r="L34" cm="1">
        <f t="array" ref="L34">SUMPRODUCT((L19:L22={"A1","A2"})*1)</f>
        <v>2</v>
      </c>
      <c r="M34" cm="1">
        <f t="array" ref="M34">SUMPRODUCT((M19:M22={"A1","A2"})*1)</f>
        <v>1</v>
      </c>
      <c r="N34" cm="1">
        <f t="array" ref="N34">SUMPRODUCT((N19:N22={"A1","A2"})*1)</f>
        <v>0</v>
      </c>
      <c r="O34" cm="1">
        <f t="array" ref="O34">SUMPRODUCT((O19:O22={"A1","A2"})*1)</f>
        <v>0</v>
      </c>
      <c r="P34" cm="1">
        <f t="array" ref="P34">SUMPRODUCT((P19:P22={"A1","A2"})*1)</f>
        <v>2</v>
      </c>
      <c r="Q34" cm="1">
        <f t="array" ref="Q34">SUMPRODUCT((Q19:Q22={"A1","A2"})*1)</f>
        <v>0</v>
      </c>
      <c r="R34" cm="1">
        <f t="array" ref="R34">SUMPRODUCT((R19:R22={"A1","A2"})*1)</f>
        <v>1</v>
      </c>
      <c r="S34" cm="1">
        <f t="array" ref="S34">SUMPRODUCT((S19:S22={"A1","A2"})*1)</f>
        <v>1</v>
      </c>
      <c r="T34" cm="1">
        <f t="array" ref="T34">SUMPRODUCT((T19:T22={"A1","A2"})*1)</f>
        <v>2</v>
      </c>
      <c r="U34" cm="1">
        <f t="array" ref="U34">SUMPRODUCT((U19:U22={"A1","A2"})*1)</f>
        <v>0</v>
      </c>
      <c r="V34" cm="1">
        <f t="array" ref="V34">SUMPRODUCT((V19:V22={"A1","A2"})*1)</f>
        <v>2</v>
      </c>
      <c r="W34" cm="1">
        <f t="array" ref="W34">SUMPRODUCT((W19:W22={"A1","A2"})*1)</f>
        <v>2</v>
      </c>
      <c r="X34" cm="1">
        <f t="array" ref="X34">SUMPRODUCT((X19:X22={"A1","A2"})*1)</f>
        <v>1</v>
      </c>
      <c r="Y34" cm="1">
        <f t="array" ref="Y34">SUMPRODUCT((Y19:Y22={"A1","A2"})*1)</f>
        <v>0</v>
      </c>
      <c r="Z34" cm="1">
        <f t="array" ref="Z34">SUMPRODUCT((Z19:Z22={"A1","A2"})*1)</f>
        <v>0</v>
      </c>
      <c r="AA34" cm="1">
        <f t="array" ref="AA34">SUMPRODUCT((AA19:AA22={"A1","A2"})*1)</f>
        <v>3</v>
      </c>
      <c r="AB34" cm="1">
        <f t="array" ref="AB34">SUMPRODUCT((AB19:AB22={"A1","A2"})*1)</f>
        <v>1</v>
      </c>
      <c r="AC34" cm="1">
        <f t="array" ref="AC34">SUMPRODUCT((AC19:AC22={"A1","A2"})*1)</f>
        <v>0</v>
      </c>
    </row>
    <row r="35" spans="1:29" x14ac:dyDescent="0.35">
      <c r="A35" t="s">
        <v>33</v>
      </c>
      <c r="B35" cm="1">
        <f t="array" ref="B35">SUMPRODUCT((B25:B27={"M1","M2","M3"})*1)</f>
        <v>2</v>
      </c>
      <c r="C35" cm="1">
        <f t="array" ref="C35">SUMPRODUCT((C25:C27={"M1","M2","M3"})*1)</f>
        <v>1</v>
      </c>
      <c r="D35" cm="1">
        <f t="array" ref="D35">SUMPRODUCT((D25:D27={"M1","M2","M3"})*1)</f>
        <v>2</v>
      </c>
      <c r="E35" cm="1">
        <f t="array" ref="E35">SUMPRODUCT((E25:E27={"M1","M2","M3"})*1)</f>
        <v>1</v>
      </c>
      <c r="F35" cm="1">
        <f t="array" ref="F35">SUMPRODUCT((F25:F27={"M1","M2","M3"})*1)</f>
        <v>2</v>
      </c>
      <c r="G35" cm="1">
        <f t="array" ref="G35">SUMPRODUCT((G25:G27={"M1","M2","M3"})*1)</f>
        <v>1</v>
      </c>
      <c r="H35" cm="1">
        <f t="array" ref="H35">SUMPRODUCT((H25:H27={"M1","M2","M3"})*1)</f>
        <v>1</v>
      </c>
      <c r="I35" cm="1">
        <f t="array" ref="I35">SUMPRODUCT((I25:I27={"M1","M2","M3"})*1)</f>
        <v>0</v>
      </c>
      <c r="J35" cm="1">
        <f t="array" ref="J35">SUMPRODUCT((J25:J27={"M1","M2","M3"})*1)</f>
        <v>2</v>
      </c>
      <c r="K35" cm="1">
        <f t="array" ref="K35">SUMPRODUCT((K25:K27={"M1","M2","M3"})*1)</f>
        <v>0</v>
      </c>
      <c r="L35" cm="1">
        <f t="array" ref="L35">SUMPRODUCT((L25:L27={"M1","M2","M3"})*1)</f>
        <v>2</v>
      </c>
      <c r="M35" cm="1">
        <f t="array" ref="M35">SUMPRODUCT((M25:M27={"M1","M2","M3"})*1)</f>
        <v>2</v>
      </c>
      <c r="N35" cm="1">
        <f t="array" ref="N35">SUMPRODUCT((N25:N27={"M1","M2","M3"})*1)</f>
        <v>2</v>
      </c>
      <c r="O35" cm="1">
        <f t="array" ref="O35">SUMPRODUCT((O25:O27={"M1","M2","M3"})*1)</f>
        <v>0</v>
      </c>
      <c r="P35" cm="1">
        <f t="array" ref="P35">SUMPRODUCT((P25:P27={"M1","M2","M3"})*1)</f>
        <v>1</v>
      </c>
      <c r="Q35" cm="1">
        <f t="array" ref="Q35">SUMPRODUCT((Q25:Q27={"M1","M2","M3"})*1)</f>
        <v>1</v>
      </c>
      <c r="R35" cm="1">
        <f t="array" ref="R35">SUMPRODUCT((R25:R27={"M1","M2","M3"})*1)</f>
        <v>1</v>
      </c>
      <c r="S35" cm="1">
        <f t="array" ref="S35">SUMPRODUCT((S25:S27={"M1","M2","M3"})*1)</f>
        <v>1</v>
      </c>
      <c r="T35" cm="1">
        <f t="array" ref="T35">SUMPRODUCT((T25:T27={"M1","M2","M3"})*1)</f>
        <v>2</v>
      </c>
      <c r="U35" cm="1">
        <f t="array" ref="U35">SUMPRODUCT((U25:U27={"M1","M2","M3"})*1)</f>
        <v>2</v>
      </c>
      <c r="V35" cm="1">
        <f t="array" ref="V35">SUMPRODUCT((V25:V27={"M1","M2","M3"})*1)</f>
        <v>2</v>
      </c>
      <c r="W35" cm="1">
        <f t="array" ref="W35">SUMPRODUCT((W25:W27={"M1","M2","M3"})*1)</f>
        <v>1</v>
      </c>
      <c r="X35" cm="1">
        <f t="array" ref="X35">SUMPRODUCT((X25:X27={"M1","M2","M3"})*1)</f>
        <v>2</v>
      </c>
      <c r="Y35" cm="1">
        <f t="array" ref="Y35">SUMPRODUCT((Y25:Y27={"M1","M2","M3"})*1)</f>
        <v>0</v>
      </c>
      <c r="Z35" cm="1">
        <f t="array" ref="Z35">SUMPRODUCT((Z25:Z27={"M1","M2","M3"})*1)</f>
        <v>1</v>
      </c>
      <c r="AA35" cm="1">
        <f t="array" ref="AA35">SUMPRODUCT((AA25:AA27={"M1","M2","M3"})*1)</f>
        <v>1</v>
      </c>
      <c r="AB35" cm="1">
        <f t="array" ref="AB35">SUMPRODUCT((AB25:AB27={"M1","M2","M3"})*1)</f>
        <v>2</v>
      </c>
      <c r="AC35" cm="1">
        <f t="array" ref="AC35">SUMPRODUCT((AC25:AC27={"M1","M2","M3"})*1)</f>
        <v>1</v>
      </c>
    </row>
    <row r="36" spans="1:29" x14ac:dyDescent="0.35">
      <c r="A36" t="s">
        <v>35</v>
      </c>
      <c r="B36" cm="1">
        <f t="array" ref="B36">SUMPRODUCT((B25:B27={"A1","A2"})*1)</f>
        <v>1</v>
      </c>
      <c r="C36" cm="1">
        <f t="array" ref="C36">SUMPRODUCT((C25:C27={"A1","A2"})*1)</f>
        <v>2</v>
      </c>
      <c r="D36" cm="1">
        <f t="array" ref="D36">SUMPRODUCT((D25:D27={"A1","A2"})*1)</f>
        <v>1</v>
      </c>
      <c r="E36" cm="1">
        <f t="array" ref="E36">SUMPRODUCT((E25:E27={"A1","A2"})*1)</f>
        <v>2</v>
      </c>
      <c r="F36" cm="1">
        <f t="array" ref="F36">SUMPRODUCT((F25:F27={"A1","A2"})*1)</f>
        <v>1</v>
      </c>
      <c r="G36" cm="1">
        <f t="array" ref="G36">SUMPRODUCT((G25:G27={"A1","A2"})*1)</f>
        <v>1</v>
      </c>
      <c r="H36" cm="1">
        <f t="array" ref="H36">SUMPRODUCT((H25:H27={"A1","A2"})*1)</f>
        <v>0</v>
      </c>
      <c r="I36" cm="1">
        <f t="array" ref="I36">SUMPRODUCT((I25:I27={"A1","A2"})*1)</f>
        <v>2</v>
      </c>
      <c r="J36" cm="1">
        <f t="array" ref="J36">SUMPRODUCT((J25:J27={"A1","A2"})*1)</f>
        <v>1</v>
      </c>
      <c r="K36" cm="1">
        <f t="array" ref="K36">SUMPRODUCT((K25:K27={"A1","A2"})*1)</f>
        <v>2</v>
      </c>
      <c r="L36" cm="1">
        <f t="array" ref="L36">SUMPRODUCT((L25:L27={"A1","A2"})*1)</f>
        <v>1</v>
      </c>
      <c r="M36" cm="1">
        <f t="array" ref="M36">SUMPRODUCT((M25:M27={"A1","A2"})*1)</f>
        <v>1</v>
      </c>
      <c r="N36" cm="1">
        <f t="array" ref="N36">SUMPRODUCT((N25:N27={"A1","A2"})*1)</f>
        <v>1</v>
      </c>
      <c r="O36" cm="1">
        <f t="array" ref="O36">SUMPRODUCT((O25:O27={"A1","A2"})*1)</f>
        <v>2</v>
      </c>
      <c r="P36" cm="1">
        <f t="array" ref="P36">SUMPRODUCT((P25:P27={"A1","A2"})*1)</f>
        <v>1</v>
      </c>
      <c r="Q36" cm="1">
        <f t="array" ref="Q36">SUMPRODUCT((Q25:Q27={"A1","A2"})*1)</f>
        <v>1</v>
      </c>
      <c r="R36" cm="1">
        <f t="array" ref="R36">SUMPRODUCT((R25:R27={"A1","A2"})*1)</f>
        <v>1</v>
      </c>
      <c r="S36" cm="1">
        <f t="array" ref="S36">SUMPRODUCT((S25:S27={"A1","A2"})*1)</f>
        <v>2</v>
      </c>
      <c r="T36" cm="1">
        <f t="array" ref="T36">SUMPRODUCT((T25:T27={"A1","A2"})*1)</f>
        <v>0</v>
      </c>
      <c r="U36" cm="1">
        <f t="array" ref="U36">SUMPRODUCT((U25:U27={"A1","A2"})*1)</f>
        <v>1</v>
      </c>
      <c r="V36" cm="1">
        <f t="array" ref="V36">SUMPRODUCT((V25:V27={"A1","A2"})*1)</f>
        <v>1</v>
      </c>
      <c r="W36" cm="1">
        <f t="array" ref="W36">SUMPRODUCT((W25:W27={"A1","A2"})*1)</f>
        <v>1</v>
      </c>
      <c r="X36" cm="1">
        <f t="array" ref="X36">SUMPRODUCT((X25:X27={"A1","A2"})*1)</f>
        <v>0</v>
      </c>
      <c r="Y36" cm="1">
        <f t="array" ref="Y36">SUMPRODUCT((Y25:Y27={"A1","A2"})*1)</f>
        <v>2</v>
      </c>
      <c r="Z36" cm="1">
        <f t="array" ref="Z36">SUMPRODUCT((Z25:Z27={"A1","A2"})*1)</f>
        <v>2</v>
      </c>
      <c r="AA36" cm="1">
        <f t="array" ref="AA36">SUMPRODUCT((AA25:AA27={"A1","A2"})*1)</f>
        <v>0</v>
      </c>
      <c r="AB36" cm="1">
        <f t="array" ref="AB36">SUMPRODUCT((AB25:AB27={"A1","A2"})*1)</f>
        <v>1</v>
      </c>
      <c r="AC36" cm="1">
        <f t="array" ref="AC36">SUMPRODUCT((AC25:AC27={"A1","A2"})*1)</f>
        <v>2</v>
      </c>
    </row>
    <row r="37" spans="1:29" x14ac:dyDescent="0.35">
      <c r="A37" t="s">
        <v>36</v>
      </c>
      <c r="B37" cm="1">
        <f t="array" ref="B37">SUMPRODUCT((B23:B24={"M1","M2","M3"})*1)</f>
        <v>1</v>
      </c>
      <c r="C37" cm="1">
        <f t="array" ref="C37">SUMPRODUCT((C23:C24={"M1","M2","M3"})*1)</f>
        <v>1</v>
      </c>
      <c r="D37" cm="1">
        <f t="array" ref="D37">SUMPRODUCT((D23:D24={"M1","M2","M3"})*1)</f>
        <v>1</v>
      </c>
      <c r="E37" cm="1">
        <f t="array" ref="E37">SUMPRODUCT((E23:E24={"M1","M2","M3"})*1)</f>
        <v>1</v>
      </c>
      <c r="F37" cm="1">
        <f t="array" ref="F37">SUMPRODUCT((F23:F24={"M1","M2","M3"})*1)</f>
        <v>0</v>
      </c>
      <c r="G37" cm="1">
        <f t="array" ref="G37">SUMPRODUCT((G23:G24={"M1","M2","M3"})*1)</f>
        <v>2</v>
      </c>
      <c r="H37" cm="1">
        <f t="array" ref="H37">SUMPRODUCT((H23:H24={"M1","M2","M3"})*1)</f>
        <v>1</v>
      </c>
      <c r="I37" cm="1">
        <f t="array" ref="I37">SUMPRODUCT((I23:I24={"M1","M2","M3"})*1)</f>
        <v>1</v>
      </c>
      <c r="J37" cm="1">
        <f t="array" ref="J37">SUMPRODUCT((J23:J24={"M1","M2","M3"})*1)</f>
        <v>0</v>
      </c>
      <c r="K37" cm="1">
        <f t="array" ref="K37">SUMPRODUCT((K23:K24={"M1","M2","M3"})*1)</f>
        <v>2</v>
      </c>
      <c r="L37" cm="1">
        <f t="array" ref="L37">SUMPRODUCT((L23:L24={"M1","M2","M3"})*1)</f>
        <v>2</v>
      </c>
      <c r="M37" cm="1">
        <f t="array" ref="M37">SUMPRODUCT((M23:M24={"M1","M2","M3"})*1)</f>
        <v>1</v>
      </c>
      <c r="N37" cm="1">
        <f t="array" ref="N37">SUMPRODUCT((N23:N24={"M1","M2","M3"})*1)</f>
        <v>0</v>
      </c>
      <c r="O37" cm="1">
        <f t="array" ref="O37">SUMPRODUCT((O23:O24={"M1","M2","M3"})*1)</f>
        <v>0</v>
      </c>
      <c r="P37" cm="1">
        <f t="array" ref="P37">SUMPRODUCT((P23:P24={"M1","M2","M3"})*1)</f>
        <v>2</v>
      </c>
      <c r="Q37" cm="1">
        <f t="array" ref="Q37">SUMPRODUCT((Q23:Q24={"M1","M2","M3"})*1)</f>
        <v>1</v>
      </c>
      <c r="R37" cm="1">
        <f t="array" ref="R37">SUMPRODUCT((R23:R24={"M1","M2","M3"})*1)</f>
        <v>2</v>
      </c>
      <c r="S37" cm="1">
        <f t="array" ref="S37">SUMPRODUCT((S23:S24={"M1","M2","M3"})*1)</f>
        <v>2</v>
      </c>
      <c r="T37" cm="1">
        <f t="array" ref="T37">SUMPRODUCT((T23:T24={"M1","M2","M3"})*1)</f>
        <v>1</v>
      </c>
      <c r="U37" cm="1">
        <f t="array" ref="U37">SUMPRODUCT((U23:U24={"M1","M2","M3"})*1)</f>
        <v>0</v>
      </c>
      <c r="V37" cm="1">
        <f t="array" ref="V37">SUMPRODUCT((V23:V24={"M1","M2","M3"})*1)</f>
        <v>0</v>
      </c>
      <c r="W37" cm="1">
        <f t="array" ref="W37">SUMPRODUCT((W23:W24={"M1","M2","M3"})*1)</f>
        <v>2</v>
      </c>
      <c r="X37" cm="1">
        <f t="array" ref="X37">SUMPRODUCT((X23:X24={"M1","M2","M3"})*1)</f>
        <v>1</v>
      </c>
      <c r="Y37" cm="1">
        <f t="array" ref="Y37">SUMPRODUCT((Y23:Y24={"M1","M2","M3"})*1)</f>
        <v>2</v>
      </c>
      <c r="Z37" cm="1">
        <f t="array" ref="Z37">SUMPRODUCT((Z23:Z24={"M1","M2","M3"})*1)</f>
        <v>0</v>
      </c>
      <c r="AA37" cm="1">
        <f t="array" ref="AA37">SUMPRODUCT((AA23:AA24={"M1","M2","M3"})*1)</f>
        <v>2</v>
      </c>
      <c r="AB37" cm="1">
        <f t="array" ref="AB37">SUMPRODUCT((AB23:AB24={"M1","M2","M3"})*1)</f>
        <v>1</v>
      </c>
      <c r="AC37" cm="1">
        <f t="array" ref="AC37">SUMPRODUCT((AC23:AC24={"M1","M2","M3"})*1)</f>
        <v>0</v>
      </c>
    </row>
    <row r="38" spans="1:29" x14ac:dyDescent="0.35">
      <c r="A38" t="s">
        <v>37</v>
      </c>
      <c r="B38" cm="1">
        <f t="array" ref="B38">SUMPRODUCT((B23:B24={"A1","A2"})*1)</f>
        <v>0</v>
      </c>
      <c r="C38" cm="1">
        <f t="array" ref="C38">SUMPRODUCT((C23:C24={"A1","A2"})*1)</f>
        <v>1</v>
      </c>
      <c r="D38" cm="1">
        <f t="array" ref="D38">SUMPRODUCT((D23:D24={"A1","A2"})*1)</f>
        <v>1</v>
      </c>
      <c r="E38" cm="1">
        <f t="array" ref="E38">SUMPRODUCT((E23:E24={"A1","A2"})*1)</f>
        <v>1</v>
      </c>
      <c r="F38" cm="1">
        <f t="array" ref="F38">SUMPRODUCT((F23:F24={"A1","A2"})*1)</f>
        <v>1</v>
      </c>
      <c r="G38" cm="1">
        <f t="array" ref="G38">SUMPRODUCT((G23:G24={"A1","A2"})*1)</f>
        <v>0</v>
      </c>
      <c r="H38" cm="1">
        <f t="array" ref="H38">SUMPRODUCT((H23:H24={"A1","A2"})*1)</f>
        <v>1</v>
      </c>
      <c r="I38" cm="1">
        <f t="array" ref="I38">SUMPRODUCT((I23:I24={"A1","A2"})*1)</f>
        <v>1</v>
      </c>
      <c r="J38" cm="1">
        <f t="array" ref="J38">SUMPRODUCT((J23:J24={"A1","A2"})*1)</f>
        <v>1</v>
      </c>
      <c r="K38" cm="1">
        <f t="array" ref="K38">SUMPRODUCT((K23:K24={"A1","A2"})*1)</f>
        <v>0</v>
      </c>
      <c r="L38" cm="1">
        <f t="array" ref="L38">SUMPRODUCT((L23:L24={"A1","A2"})*1)</f>
        <v>0</v>
      </c>
      <c r="M38" cm="1">
        <f t="array" ref="M38">SUMPRODUCT((M23:M24={"A1","A2"})*1)</f>
        <v>1</v>
      </c>
      <c r="N38" cm="1">
        <f t="array" ref="N38">SUMPRODUCT((N23:N24={"A1","A2"})*1)</f>
        <v>2</v>
      </c>
      <c r="O38" cm="1">
        <f t="array" ref="O38">SUMPRODUCT((O23:O24={"A1","A2"})*1)</f>
        <v>1</v>
      </c>
      <c r="P38" cm="1">
        <f t="array" ref="P38">SUMPRODUCT((P23:P24={"A1","A2"})*1)</f>
        <v>0</v>
      </c>
      <c r="Q38" cm="1">
        <f t="array" ref="Q38">SUMPRODUCT((Q23:Q24={"A1","A2"})*1)</f>
        <v>1</v>
      </c>
      <c r="R38" cm="1">
        <f t="array" ref="R38">SUMPRODUCT((R23:R24={"A1","A2"})*1)</f>
        <v>0</v>
      </c>
      <c r="S38" cm="1">
        <f t="array" ref="S38">SUMPRODUCT((S23:S24={"A1","A2"})*1)</f>
        <v>0</v>
      </c>
      <c r="T38" cm="1">
        <f t="array" ref="T38">SUMPRODUCT((T23:T24={"A1","A2"})*1)</f>
        <v>1</v>
      </c>
      <c r="U38" cm="1">
        <f t="array" ref="U38">SUMPRODUCT((U23:U24={"A1","A2"})*1)</f>
        <v>2</v>
      </c>
      <c r="V38" cm="1">
        <f t="array" ref="V38">SUMPRODUCT((V23:V24={"A1","A2"})*1)</f>
        <v>0</v>
      </c>
      <c r="W38" cm="1">
        <f t="array" ref="W38">SUMPRODUCT((W23:W24={"A1","A2"})*1)</f>
        <v>0</v>
      </c>
      <c r="X38" cm="1">
        <f t="array" ref="X38">SUMPRODUCT((X23:X24={"A1","A2"})*1)</f>
        <v>1</v>
      </c>
      <c r="Y38" cm="1">
        <f t="array" ref="Y38">SUMPRODUCT((Y23:Y24={"A1","A2"})*1)</f>
        <v>0</v>
      </c>
      <c r="Z38" cm="1">
        <f t="array" ref="Z38">SUMPRODUCT((Z23:Z24={"A1","A2"})*1)</f>
        <v>1</v>
      </c>
      <c r="AA38" cm="1">
        <f t="array" ref="AA38">SUMPRODUCT((AA23:AA24={"A1","A2"})*1)</f>
        <v>0</v>
      </c>
      <c r="AB38" cm="1">
        <f t="array" ref="AB38">SUMPRODUCT((AB23:AB24={"A1","A2"})*1)</f>
        <v>1</v>
      </c>
      <c r="AC38" cm="1">
        <f t="array" ref="AC38">SUMPRODUCT((AC23:AC24={"A1","A2"})*1)</f>
        <v>1</v>
      </c>
    </row>
  </sheetData>
  <dataConsolidate/>
  <mergeCells count="6">
    <mergeCell ref="A30:AC30"/>
    <mergeCell ref="A1:AC1"/>
    <mergeCell ref="A15:AC15"/>
    <mergeCell ref="A2:AC2"/>
    <mergeCell ref="A16:AC16"/>
    <mergeCell ref="A29:AC29"/>
  </mergeCells>
  <conditionalFormatting sqref="A15:AC27">
    <cfRule type="containsText" dxfId="10" priority="24" operator="containsText" text="M3">
      <formula>NOT(ISERROR(SEARCH("M3",A15)))</formula>
    </cfRule>
  </conditionalFormatting>
  <conditionalFormatting sqref="B31:F31 I31:M31 P31 S31:T31 W31 Z31:AA31">
    <cfRule type="cellIs" dxfId="9" priority="5" operator="lessThan">
      <formula>4</formula>
    </cfRule>
    <cfRule type="cellIs" dxfId="8" priority="7" operator="greaterThan">
      <formula>4</formula>
    </cfRule>
  </conditionalFormatting>
  <conditionalFormatting sqref="B32:AC32">
    <cfRule type="cellIs" dxfId="7" priority="4" operator="lessThan">
      <formula>3</formula>
    </cfRule>
    <cfRule type="cellIs" dxfId="6" priority="6" operator="greaterThan">
      <formula>3</formula>
    </cfRule>
  </conditionalFormatting>
  <conditionalFormatting sqref="B33:AC33 B35:AC35 B37:AC37">
    <cfRule type="cellIs" dxfId="5" priority="23" operator="lessThan">
      <formula>1</formula>
    </cfRule>
  </conditionalFormatting>
  <conditionalFormatting sqref="B33:AC38">
    <cfRule type="cellIs" dxfId="4" priority="8" operator="greaterThan">
      <formula>1</formula>
    </cfRule>
  </conditionalFormatting>
  <conditionalFormatting sqref="B34:AC34 B36:AC36 B38:AC38">
    <cfRule type="cellIs" dxfId="3" priority="21" operator="lessThan">
      <formula>1</formula>
    </cfRule>
    <cfRule type="cellIs" dxfId="2" priority="22" operator="lessThan">
      <formula>0</formula>
    </cfRule>
  </conditionalFormatting>
  <conditionalFormatting sqref="G31:H31 N31:O31 Q31:R31 U31:V31 X31:Y31 AB31:AC31">
    <cfRule type="cellIs" dxfId="1" priority="1" operator="lessThan">
      <formula>3</formula>
    </cfRule>
    <cfRule type="cellIs" dxfId="0" priority="2" operator="greater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1BB9-F015-467D-BAEC-0749E3535D71}">
  <dimension ref="A1:C8"/>
  <sheetViews>
    <sheetView workbookViewId="0">
      <selection activeCell="E4" sqref="E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8</v>
      </c>
    </row>
    <row r="3" spans="1:3" x14ac:dyDescent="0.35">
      <c r="A3" t="s">
        <v>4</v>
      </c>
      <c r="B3">
        <v>2</v>
      </c>
      <c r="C3">
        <v>7</v>
      </c>
    </row>
    <row r="4" spans="1:3" x14ac:dyDescent="0.35">
      <c r="A4" t="s">
        <v>5</v>
      </c>
      <c r="B4">
        <v>3</v>
      </c>
      <c r="C4">
        <v>4</v>
      </c>
    </row>
    <row r="5" spans="1:3" x14ac:dyDescent="0.35">
      <c r="A5" t="s">
        <v>6</v>
      </c>
      <c r="B5">
        <v>4</v>
      </c>
      <c r="C5">
        <v>8</v>
      </c>
    </row>
    <row r="6" spans="1:3" x14ac:dyDescent="0.35">
      <c r="A6" t="s">
        <v>7</v>
      </c>
      <c r="B6">
        <v>5</v>
      </c>
      <c r="C6">
        <v>7</v>
      </c>
    </row>
    <row r="7" spans="1:3" x14ac:dyDescent="0.35">
      <c r="A7" t="s">
        <v>8</v>
      </c>
      <c r="B7">
        <v>6</v>
      </c>
      <c r="C7">
        <v>0</v>
      </c>
    </row>
    <row r="8" spans="1:3" x14ac:dyDescent="0.35">
      <c r="A8" t="s">
        <v>9</v>
      </c>
      <c r="B8">
        <v>7</v>
      </c>
      <c r="C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H15" sqref="H15"/>
    </sheetView>
  </sheetViews>
  <sheetFormatPr defaultRowHeight="14.5" x14ac:dyDescent="0.35"/>
  <sheetData>
    <row r="1" spans="1:7" x14ac:dyDescent="0.35">
      <c r="A1">
        <v>5</v>
      </c>
      <c r="B1">
        <v>5</v>
      </c>
      <c r="C1">
        <v>2</v>
      </c>
      <c r="D1">
        <v>6</v>
      </c>
      <c r="E1">
        <v>1</v>
      </c>
      <c r="F1">
        <v>5</v>
      </c>
      <c r="G1">
        <v>1</v>
      </c>
    </row>
    <row r="2" spans="1:7" x14ac:dyDescent="0.35">
      <c r="A2">
        <v>4</v>
      </c>
      <c r="B2">
        <v>6</v>
      </c>
      <c r="C2">
        <v>2</v>
      </c>
      <c r="D2">
        <v>1</v>
      </c>
      <c r="E2">
        <v>3</v>
      </c>
      <c r="F2">
        <v>5</v>
      </c>
      <c r="G2">
        <v>4</v>
      </c>
    </row>
    <row r="3" spans="1:7" x14ac:dyDescent="0.35">
      <c r="A3">
        <v>1</v>
      </c>
      <c r="B3">
        <v>1</v>
      </c>
      <c r="C3">
        <v>1</v>
      </c>
      <c r="D3">
        <v>6</v>
      </c>
      <c r="E3">
        <v>3</v>
      </c>
      <c r="F3">
        <v>1</v>
      </c>
      <c r="G3">
        <v>4</v>
      </c>
    </row>
    <row r="4" spans="1:7" x14ac:dyDescent="0.35">
      <c r="A4">
        <v>6</v>
      </c>
      <c r="B4">
        <v>2</v>
      </c>
      <c r="C4">
        <v>5</v>
      </c>
      <c r="D4">
        <v>2</v>
      </c>
      <c r="E4">
        <v>5</v>
      </c>
      <c r="F4">
        <v>2</v>
      </c>
      <c r="G4">
        <v>2</v>
      </c>
    </row>
    <row r="5" spans="1:7" x14ac:dyDescent="0.35">
      <c r="A5">
        <v>3</v>
      </c>
      <c r="B5">
        <v>4</v>
      </c>
      <c r="C5">
        <v>1</v>
      </c>
      <c r="D5">
        <v>4</v>
      </c>
      <c r="E5">
        <v>6</v>
      </c>
      <c r="F5">
        <v>2</v>
      </c>
      <c r="G5">
        <v>2</v>
      </c>
    </row>
    <row r="6" spans="1:7" x14ac:dyDescent="0.35">
      <c r="A6">
        <v>6</v>
      </c>
      <c r="B6">
        <v>2</v>
      </c>
      <c r="C6">
        <v>5</v>
      </c>
      <c r="D6">
        <v>2</v>
      </c>
      <c r="E6">
        <v>5</v>
      </c>
      <c r="F6">
        <v>2</v>
      </c>
      <c r="G6">
        <v>5</v>
      </c>
    </row>
    <row r="7" spans="1:7" x14ac:dyDescent="0.35">
      <c r="A7">
        <v>4</v>
      </c>
      <c r="B7">
        <v>2</v>
      </c>
      <c r="C7">
        <v>1</v>
      </c>
      <c r="D7">
        <v>4</v>
      </c>
      <c r="E7">
        <v>1</v>
      </c>
      <c r="F7">
        <v>3</v>
      </c>
      <c r="G7">
        <v>6</v>
      </c>
    </row>
    <row r="8" spans="1:7" x14ac:dyDescent="0.35">
      <c r="A8">
        <v>1</v>
      </c>
      <c r="B8">
        <v>5</v>
      </c>
      <c r="C8">
        <v>4</v>
      </c>
      <c r="D8">
        <v>3</v>
      </c>
      <c r="E8">
        <v>1</v>
      </c>
      <c r="F8">
        <v>4</v>
      </c>
      <c r="G8">
        <v>6</v>
      </c>
    </row>
    <row r="9" spans="1:7" x14ac:dyDescent="0.35">
      <c r="A9">
        <v>1</v>
      </c>
      <c r="B9">
        <v>5</v>
      </c>
      <c r="C9">
        <v>2</v>
      </c>
      <c r="D9">
        <v>4</v>
      </c>
      <c r="E9">
        <v>5</v>
      </c>
      <c r="F9">
        <v>6</v>
      </c>
      <c r="G9">
        <v>3</v>
      </c>
    </row>
  </sheetData>
  <phoneticPr fontId="0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5" x14ac:dyDescent="0.35"/>
  <sheetData>
    <row r="1" spans="1:7" x14ac:dyDescent="0.35">
      <c r="A1">
        <v>2</v>
      </c>
      <c r="B1">
        <v>5</v>
      </c>
      <c r="C1">
        <v>2</v>
      </c>
      <c r="D1">
        <v>2</v>
      </c>
      <c r="E1">
        <v>2</v>
      </c>
      <c r="F1">
        <v>6</v>
      </c>
      <c r="G1">
        <v>2</v>
      </c>
    </row>
    <row r="2" spans="1:7" x14ac:dyDescent="0.35">
      <c r="A2">
        <v>2</v>
      </c>
      <c r="B2">
        <v>2</v>
      </c>
      <c r="C2">
        <v>5</v>
      </c>
      <c r="D2">
        <v>5</v>
      </c>
      <c r="E2">
        <v>2</v>
      </c>
      <c r="F2">
        <v>2</v>
      </c>
      <c r="G2">
        <v>6</v>
      </c>
    </row>
    <row r="3" spans="1:7" x14ac:dyDescent="0.35">
      <c r="A3">
        <v>2</v>
      </c>
      <c r="B3">
        <v>2</v>
      </c>
      <c r="C3">
        <v>6</v>
      </c>
      <c r="D3">
        <v>2</v>
      </c>
      <c r="E3">
        <v>2</v>
      </c>
      <c r="F3">
        <v>2</v>
      </c>
      <c r="G3">
        <v>2</v>
      </c>
    </row>
    <row r="4" spans="1:7" x14ac:dyDescent="0.35">
      <c r="A4">
        <v>2</v>
      </c>
      <c r="B4">
        <v>2</v>
      </c>
      <c r="C4">
        <v>2</v>
      </c>
      <c r="D4">
        <v>5</v>
      </c>
      <c r="E4">
        <v>5</v>
      </c>
      <c r="F4">
        <v>6</v>
      </c>
      <c r="G4">
        <v>2</v>
      </c>
    </row>
    <row r="5" spans="1:7" x14ac:dyDescent="0.35">
      <c r="A5">
        <v>4</v>
      </c>
      <c r="B5">
        <v>4</v>
      </c>
      <c r="C5">
        <v>3</v>
      </c>
      <c r="D5">
        <v>1</v>
      </c>
      <c r="E5">
        <v>4</v>
      </c>
      <c r="F5">
        <v>4</v>
      </c>
      <c r="G5">
        <v>6</v>
      </c>
    </row>
    <row r="6" spans="1:7" x14ac:dyDescent="0.35">
      <c r="A6">
        <v>2</v>
      </c>
      <c r="B6">
        <v>6</v>
      </c>
      <c r="C6">
        <v>2</v>
      </c>
      <c r="D6">
        <v>2</v>
      </c>
      <c r="E6">
        <v>2</v>
      </c>
      <c r="F6">
        <v>5</v>
      </c>
      <c r="G6">
        <v>5</v>
      </c>
    </row>
    <row r="7" spans="1:7" x14ac:dyDescent="0.35">
      <c r="A7">
        <v>6</v>
      </c>
      <c r="B7">
        <v>2</v>
      </c>
      <c r="C7">
        <v>4</v>
      </c>
      <c r="D7">
        <v>4</v>
      </c>
      <c r="E7">
        <v>2</v>
      </c>
      <c r="F7">
        <v>2</v>
      </c>
      <c r="G7">
        <v>4</v>
      </c>
    </row>
    <row r="8" spans="1:7" x14ac:dyDescent="0.35">
      <c r="A8">
        <v>4</v>
      </c>
      <c r="B8">
        <v>5</v>
      </c>
      <c r="C8">
        <v>6</v>
      </c>
      <c r="D8">
        <v>2</v>
      </c>
      <c r="E8">
        <v>2</v>
      </c>
      <c r="F8">
        <v>5</v>
      </c>
      <c r="G8">
        <v>5</v>
      </c>
    </row>
    <row r="9" spans="1:7" x14ac:dyDescent="0.35">
      <c r="A9">
        <v>4</v>
      </c>
      <c r="B9">
        <v>2</v>
      </c>
      <c r="C9">
        <v>4</v>
      </c>
      <c r="D9">
        <v>2</v>
      </c>
      <c r="E9">
        <v>5</v>
      </c>
      <c r="F9">
        <v>1</v>
      </c>
      <c r="G9">
        <v>6</v>
      </c>
    </row>
  </sheetData>
  <phoneticPr fontId="0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5" x14ac:dyDescent="0.35"/>
  <sheetData>
    <row r="1" spans="1:7" x14ac:dyDescent="0.35">
      <c r="A1">
        <v>2</v>
      </c>
      <c r="B1">
        <v>2</v>
      </c>
      <c r="C1">
        <v>5</v>
      </c>
      <c r="D1">
        <v>5</v>
      </c>
      <c r="E1">
        <v>6</v>
      </c>
      <c r="F1">
        <v>2</v>
      </c>
      <c r="G1">
        <v>2</v>
      </c>
    </row>
    <row r="2" spans="1:7" x14ac:dyDescent="0.35">
      <c r="A2">
        <v>5</v>
      </c>
      <c r="B2">
        <v>7</v>
      </c>
      <c r="C2">
        <v>7</v>
      </c>
      <c r="D2">
        <v>2</v>
      </c>
      <c r="E2">
        <v>5</v>
      </c>
      <c r="F2">
        <v>2</v>
      </c>
      <c r="G2">
        <v>6</v>
      </c>
    </row>
    <row r="3" spans="1:7" x14ac:dyDescent="0.35">
      <c r="A3">
        <v>6</v>
      </c>
      <c r="B3">
        <v>7</v>
      </c>
      <c r="C3">
        <v>7</v>
      </c>
      <c r="D3">
        <v>2</v>
      </c>
      <c r="E3">
        <v>5</v>
      </c>
      <c r="F3">
        <v>2</v>
      </c>
      <c r="G3">
        <v>5</v>
      </c>
    </row>
    <row r="4" spans="1:7" x14ac:dyDescent="0.35">
      <c r="A4">
        <v>5</v>
      </c>
      <c r="B4">
        <v>7</v>
      </c>
      <c r="C4">
        <v>7</v>
      </c>
      <c r="D4">
        <v>6</v>
      </c>
      <c r="E4">
        <v>2</v>
      </c>
      <c r="F4">
        <v>2</v>
      </c>
      <c r="G4">
        <v>5</v>
      </c>
    </row>
    <row r="5" spans="1:7" x14ac:dyDescent="0.35">
      <c r="A5">
        <v>2</v>
      </c>
      <c r="B5">
        <v>2</v>
      </c>
      <c r="C5">
        <v>2</v>
      </c>
      <c r="D5">
        <v>2</v>
      </c>
      <c r="E5">
        <v>2</v>
      </c>
      <c r="F5">
        <v>5</v>
      </c>
      <c r="G5">
        <v>6</v>
      </c>
    </row>
    <row r="6" spans="1:7" x14ac:dyDescent="0.35">
      <c r="A6">
        <v>2</v>
      </c>
      <c r="B6">
        <v>5</v>
      </c>
      <c r="C6">
        <v>2</v>
      </c>
      <c r="D6">
        <v>2</v>
      </c>
      <c r="E6">
        <v>5</v>
      </c>
      <c r="F6">
        <v>5</v>
      </c>
      <c r="G6">
        <v>6</v>
      </c>
    </row>
    <row r="7" spans="1:7" x14ac:dyDescent="0.35">
      <c r="A7">
        <v>5</v>
      </c>
      <c r="B7">
        <v>5</v>
      </c>
      <c r="C7">
        <v>2</v>
      </c>
      <c r="D7">
        <v>5</v>
      </c>
      <c r="E7">
        <v>2</v>
      </c>
      <c r="F7">
        <v>5</v>
      </c>
      <c r="G7">
        <v>5</v>
      </c>
    </row>
    <row r="8" spans="1:7" x14ac:dyDescent="0.35">
      <c r="A8">
        <v>2</v>
      </c>
      <c r="B8">
        <v>2</v>
      </c>
      <c r="C8">
        <v>5</v>
      </c>
      <c r="D8">
        <v>5</v>
      </c>
      <c r="E8">
        <v>6</v>
      </c>
      <c r="F8">
        <v>2</v>
      </c>
      <c r="G8">
        <v>2</v>
      </c>
    </row>
    <row r="9" spans="1:7" x14ac:dyDescent="0.35">
      <c r="A9">
        <v>6</v>
      </c>
      <c r="B9">
        <v>7</v>
      </c>
      <c r="C9">
        <v>7</v>
      </c>
      <c r="D9">
        <v>2</v>
      </c>
      <c r="E9">
        <v>2</v>
      </c>
      <c r="F9">
        <v>2</v>
      </c>
      <c r="G9">
        <v>2</v>
      </c>
    </row>
  </sheetData>
  <phoneticPr fontId="0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E14" sqref="E14"/>
    </sheetView>
  </sheetViews>
  <sheetFormatPr defaultRowHeight="14.5" x14ac:dyDescent="0.35"/>
  <sheetData>
    <row r="1" spans="1:7" x14ac:dyDescent="0.35">
      <c r="A1">
        <v>5</v>
      </c>
      <c r="B1">
        <v>5</v>
      </c>
      <c r="C1">
        <v>2</v>
      </c>
      <c r="D1">
        <v>2</v>
      </c>
      <c r="E1">
        <v>5</v>
      </c>
      <c r="F1">
        <v>6</v>
      </c>
      <c r="G1">
        <v>2</v>
      </c>
    </row>
    <row r="2" spans="1:7" x14ac:dyDescent="0.35">
      <c r="A2">
        <v>5</v>
      </c>
      <c r="B2">
        <v>7</v>
      </c>
      <c r="C2">
        <v>7</v>
      </c>
      <c r="D2">
        <v>2</v>
      </c>
      <c r="E2">
        <v>2</v>
      </c>
      <c r="F2">
        <v>6</v>
      </c>
      <c r="G2">
        <v>2</v>
      </c>
    </row>
    <row r="3" spans="1:7" x14ac:dyDescent="0.35">
      <c r="A3">
        <v>6</v>
      </c>
      <c r="B3">
        <v>7</v>
      </c>
      <c r="C3">
        <v>7</v>
      </c>
      <c r="D3">
        <v>2</v>
      </c>
      <c r="E3">
        <v>5</v>
      </c>
      <c r="F3">
        <v>5</v>
      </c>
      <c r="G3">
        <v>2</v>
      </c>
    </row>
    <row r="4" spans="1:7" x14ac:dyDescent="0.35">
      <c r="A4">
        <v>2</v>
      </c>
      <c r="B4">
        <v>7</v>
      </c>
      <c r="C4">
        <v>7</v>
      </c>
      <c r="D4">
        <v>2</v>
      </c>
      <c r="E4">
        <v>5</v>
      </c>
      <c r="F4">
        <v>2</v>
      </c>
      <c r="G4">
        <v>6</v>
      </c>
    </row>
    <row r="5" spans="1:7" x14ac:dyDescent="0.35">
      <c r="A5">
        <v>2</v>
      </c>
      <c r="B5">
        <v>5</v>
      </c>
      <c r="C5">
        <v>2</v>
      </c>
      <c r="D5">
        <v>6</v>
      </c>
      <c r="E5">
        <v>2</v>
      </c>
      <c r="F5">
        <v>2</v>
      </c>
      <c r="G5">
        <v>5</v>
      </c>
    </row>
    <row r="6" spans="1:7" x14ac:dyDescent="0.35">
      <c r="A6">
        <v>2</v>
      </c>
      <c r="B6">
        <v>2</v>
      </c>
      <c r="C6">
        <v>2</v>
      </c>
      <c r="D6">
        <v>5</v>
      </c>
      <c r="E6">
        <v>2</v>
      </c>
      <c r="F6">
        <v>5</v>
      </c>
      <c r="G6">
        <v>6</v>
      </c>
    </row>
    <row r="7" spans="1:7" x14ac:dyDescent="0.35">
      <c r="A7">
        <v>2</v>
      </c>
      <c r="B7">
        <v>2</v>
      </c>
      <c r="C7">
        <v>5</v>
      </c>
      <c r="D7">
        <v>5</v>
      </c>
      <c r="E7">
        <v>6</v>
      </c>
      <c r="F7">
        <v>2</v>
      </c>
      <c r="G7">
        <v>5</v>
      </c>
    </row>
    <row r="8" spans="1:7" x14ac:dyDescent="0.35">
      <c r="A8">
        <v>5</v>
      </c>
      <c r="B8">
        <v>2</v>
      </c>
      <c r="C8">
        <v>5</v>
      </c>
      <c r="D8">
        <v>5</v>
      </c>
      <c r="E8">
        <v>6</v>
      </c>
      <c r="F8">
        <v>2</v>
      </c>
      <c r="G8">
        <v>2</v>
      </c>
    </row>
    <row r="9" spans="1:7" x14ac:dyDescent="0.35">
      <c r="A9">
        <v>6</v>
      </c>
      <c r="B9">
        <v>7</v>
      </c>
      <c r="C9">
        <v>7</v>
      </c>
      <c r="D9">
        <v>2</v>
      </c>
      <c r="E9">
        <v>2</v>
      </c>
      <c r="F9">
        <v>5</v>
      </c>
      <c r="G9">
        <v>5</v>
      </c>
    </row>
  </sheetData>
  <phoneticPr fontId="0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parameters</vt:lpstr>
      <vt:lpstr>week_1</vt:lpstr>
      <vt:lpstr>week_2</vt:lpstr>
      <vt:lpstr>week_3</vt:lpstr>
      <vt:lpstr>week_4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2025-12-05T06:30:15Z</dcterms:created>
  <dcterms:modified xsi:type="dcterms:W3CDTF">2025-12-05T09:27:50Z</dcterms:modified>
</cp:coreProperties>
</file>